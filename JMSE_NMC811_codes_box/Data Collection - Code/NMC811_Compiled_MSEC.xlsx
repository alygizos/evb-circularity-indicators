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\Box\PhD_Research\ARPA-E\A_Lygizos_MSEC\Literature\NMC811\"/>
    </mc:Choice>
  </mc:AlternateContent>
  <xr:revisionPtr revIDLastSave="0" documentId="13_ncr:1_{12F5957D-0BFE-4004-8B42-CF68417991E9}" xr6:coauthVersionLast="47" xr6:coauthVersionMax="47" xr10:uidLastSave="{00000000-0000-0000-0000-000000000000}"/>
  <bookViews>
    <workbookView xWindow="-120" yWindow="-120" windowWidth="29040" windowHeight="17520" firstSheet="1" activeTab="8" xr2:uid="{D4497FA3-7C6D-43E8-96D0-7E260B662026}"/>
  </bookViews>
  <sheets>
    <sheet name="QDai_2018_GREET" sheetId="1" r:id="rId1"/>
    <sheet name="Owinjobi_2020_GREET" sheetId="2" r:id="rId2"/>
    <sheet name="FHanna" sheetId="3" r:id="rId3"/>
    <sheet name="Greet 2024" sheetId="4" r:id="rId4"/>
    <sheet name="Greet steel, aluminum, copper" sheetId="6" r:id="rId5"/>
    <sheet name="Greet 2024 Recycling" sheetId="5" r:id="rId6"/>
    <sheet name="MSEC Tables" sheetId="8" r:id="rId7"/>
    <sheet name="Sheet1" sheetId="7" r:id="rId8"/>
    <sheet name="location" sheetId="9" r:id="rId9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7" l="1"/>
  <c r="B100" i="7" s="1"/>
  <c r="C58" i="7"/>
  <c r="K57" i="7"/>
  <c r="L57" i="7" s="1"/>
  <c r="C54" i="7"/>
  <c r="K53" i="7"/>
  <c r="C53" i="7"/>
  <c r="K52" i="7"/>
  <c r="C52" i="7"/>
  <c r="C51" i="7"/>
  <c r="B48" i="7"/>
  <c r="B47" i="7"/>
  <c r="C47" i="7" s="1"/>
  <c r="B46" i="7"/>
  <c r="C46" i="7" s="1"/>
  <c r="B45" i="7"/>
  <c r="C45" i="7" s="1"/>
  <c r="B44" i="7"/>
  <c r="C44" i="7" s="1"/>
  <c r="B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F4" i="7" s="1"/>
  <c r="I9" i="7"/>
  <c r="J9" i="7" s="1"/>
  <c r="C9" i="7"/>
  <c r="F6" i="7" s="1"/>
  <c r="I8" i="7"/>
  <c r="J8" i="7" s="1"/>
  <c r="C8" i="7"/>
  <c r="I7" i="7"/>
  <c r="J7" i="7" s="1"/>
  <c r="C7" i="7"/>
  <c r="I6" i="7"/>
  <c r="J6" i="7" s="1"/>
  <c r="C6" i="7"/>
  <c r="F7" i="7" s="1"/>
  <c r="I5" i="7"/>
  <c r="J5" i="7" s="1"/>
  <c r="C5" i="7"/>
  <c r="C35" i="7" s="1"/>
  <c r="C88" i="5"/>
  <c r="F11" i="7" l="1"/>
  <c r="H46" i="7"/>
  <c r="B55" i="7"/>
  <c r="B98" i="7"/>
  <c r="B101" i="7"/>
  <c r="B102" i="7"/>
  <c r="F8" i="7"/>
  <c r="L53" i="7"/>
  <c r="H47" i="7" s="1"/>
  <c r="G44" i="7" s="1"/>
  <c r="B34" i="7"/>
  <c r="C34" i="7" s="1"/>
  <c r="B35" i="7"/>
  <c r="B99" i="7"/>
  <c r="C79" i="7"/>
  <c r="C62" i="7" s="1"/>
  <c r="F5" i="7"/>
  <c r="F9" i="7"/>
  <c r="B36" i="7"/>
  <c r="C36" i="7"/>
  <c r="B37" i="7"/>
  <c r="C48" i="7"/>
  <c r="C37" i="7"/>
  <c r="F10" i="7"/>
  <c r="C25" i="7"/>
  <c r="G43" i="7"/>
  <c r="B32" i="7"/>
  <c r="C32" i="7"/>
  <c r="D32" i="7"/>
  <c r="B33" i="7" l="1"/>
  <c r="C33" i="7" s="1"/>
  <c r="C28" i="7"/>
  <c r="B38" i="7" l="1"/>
  <c r="M68" i="4"/>
  <c r="F118" i="4"/>
  <c r="F117" i="4"/>
  <c r="F116" i="4"/>
  <c r="F115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K47" i="4"/>
  <c r="M47" i="4" s="1"/>
  <c r="D19" i="4"/>
  <c r="C19" i="4"/>
  <c r="F119" i="4" l="1"/>
  <c r="M67" i="4"/>
  <c r="M69" i="4" s="1"/>
  <c r="V35" i="4" l="1"/>
  <c r="V33" i="4" s="1"/>
  <c r="V43" i="4"/>
  <c r="V40" i="4" s="1"/>
  <c r="I25" i="4"/>
  <c r="S32" i="4"/>
  <c r="I26" i="4"/>
  <c r="I27" i="4"/>
  <c r="I28" i="4"/>
  <c r="I29" i="4"/>
  <c r="S31" i="4" s="1"/>
  <c r="I30" i="4"/>
  <c r="S29" i="4" s="1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M24" i="4"/>
  <c r="L24" i="4"/>
  <c r="J38" i="4" l="1"/>
  <c r="S36" i="4"/>
  <c r="V29" i="4"/>
  <c r="S35" i="4" s="1"/>
  <c r="V38" i="4"/>
  <c r="S33" i="4" s="1"/>
  <c r="V39" i="4"/>
  <c r="V30" i="4"/>
  <c r="S30" i="4" s="1"/>
  <c r="V31" i="4"/>
  <c r="S34" i="4" s="1"/>
  <c r="V32" i="4"/>
  <c r="C45" i="4"/>
  <c r="K2" i="3" l="1"/>
  <c r="L2" i="3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2" i="2"/>
  <c r="G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9" i="3"/>
  <c r="F20" i="3"/>
  <c r="F21" i="3"/>
  <c r="F22" i="3"/>
  <c r="F23" i="3"/>
  <c r="F24" i="3"/>
  <c r="F25" i="3"/>
  <c r="F26" i="3"/>
  <c r="F27" i="3"/>
  <c r="F28" i="3"/>
  <c r="F29" i="3"/>
  <c r="F30" i="3"/>
  <c r="F2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<sst xmlns="http://schemas.openxmlformats.org/spreadsheetml/2006/main" count="2887" uniqueCount="963">
  <si>
    <t>Cell components (kg)</t>
  </si>
  <si>
    <t>Active cathode material</t>
  </si>
  <si>
    <t>Graphite</t>
  </si>
  <si>
    <t>Carbon black</t>
  </si>
  <si>
    <t>Binder (PVDF)</t>
  </si>
  <si>
    <t>Copper</t>
  </si>
  <si>
    <t>Aluminum</t>
  </si>
  <si>
    <t>Electrolyte: LiPF6</t>
  </si>
  <si>
    <t>Electrolyte: Ethylene 
Carbonate</t>
  </si>
  <si>
    <t>Electrolyte: Dimethyl 
Carbonate</t>
  </si>
  <si>
    <t>Plastic: Polypropylene</t>
  </si>
  <si>
    <t>Plastic: Polyethylene</t>
  </si>
  <si>
    <t>Plastic: Polyethylene 
Terephthalate</t>
  </si>
  <si>
    <t>Module components sans cell (kg)</t>
  </si>
  <si>
    <t>Insulation</t>
  </si>
  <si>
    <t>Electronic part</t>
  </si>
  <si>
    <t>Pack components sans module (kg)</t>
  </si>
  <si>
    <t>Steel</t>
  </si>
  <si>
    <t>Coolant</t>
  </si>
  <si>
    <t>Subtotal: Cell</t>
  </si>
  <si>
    <t>Subtotal: Module sans cell</t>
  </si>
  <si>
    <t>Subtotal: Pack sans module</t>
  </si>
  <si>
    <t>Total: Pack</t>
  </si>
  <si>
    <t>NMC 
811</t>
  </si>
  <si>
    <t>34.93</t>
  </si>
  <si>
    <t>23.15</t>
  </si>
  <si>
    <t>1.94</t>
  </si>
  <si>
    <t>4.01</t>
  </si>
  <si>
    <t>17.65</t>
  </si>
  <si>
    <t>9.25</t>
  </si>
  <si>
    <t>2.89</t>
  </si>
  <si>
    <t>8.07</t>
  </si>
  <si>
    <t>1.68</t>
  </si>
  <si>
    <t>0.39</t>
  </si>
  <si>
    <t>0.34</t>
  </si>
  <si>
    <t>0.44</t>
  </si>
  <si>
    <t>7.15</t>
  </si>
  <si>
    <t>0.18</t>
  </si>
  <si>
    <t>0.11</t>
  </si>
  <si>
    <t>1.12</t>
  </si>
  <si>
    <t>0.09</t>
  </si>
  <si>
    <t>22.29</t>
  </si>
  <si>
    <t>1.01</t>
  </si>
  <si>
    <t>0.69</t>
  </si>
  <si>
    <t>7.30</t>
  </si>
  <si>
    <t>4.93</t>
  </si>
  <si>
    <t>112.37</t>
  </si>
  <si>
    <t>9.00</t>
  </si>
  <si>
    <t>36.32</t>
  </si>
  <si>
    <t>Target Pack Power (kW)</t>
  </si>
  <si>
    <t>Vehicle  Range (miles)</t>
  </si>
  <si>
    <t>Pack Energy (kWh)</t>
  </si>
  <si>
    <t>BEV</t>
  </si>
  <si>
    <t>120</t>
  </si>
  <si>
    <t>100</t>
  </si>
  <si>
    <t>23.5</t>
  </si>
  <si>
    <t>Pack Specific Energy (Wh/kg)</t>
  </si>
  <si>
    <t>NMC811</t>
  </si>
  <si>
    <t>149.2</t>
  </si>
  <si>
    <t>Active Material</t>
  </si>
  <si>
    <t>Graphite/Carbon</t>
  </si>
  <si>
    <t>Silicon</t>
  </si>
  <si>
    <t>Binder</t>
  </si>
  <si>
    <t>Wrought Aluminum</t>
  </si>
  <si>
    <t>Cast Aluminum</t>
  </si>
  <si>
    <t>Plastic: 
Polypropylene</t>
  </si>
  <si>
    <t>Thermal Insulation</t>
  </si>
  <si>
    <t>Coolant: Glycol</t>
  </si>
  <si>
    <t>Electronic Parts</t>
  </si>
  <si>
    <t>22.2%</t>
  </si>
  <si>
    <t>15.9%</t>
  </si>
  <si>
    <t>---</t>
  </si>
  <si>
    <t>2.5%</t>
  </si>
  <si>
    <t>11.5%</t>
  </si>
  <si>
    <t>24.5%</t>
  </si>
  <si>
    <t>1.8%</t>
  </si>
  <si>
    <t>5.1%</t>
  </si>
  <si>
    <t>1.1%</t>
  </si>
  <si>
    <t>0.4%</t>
  </si>
  <si>
    <t>0.2%</t>
  </si>
  <si>
    <t>0.6%</t>
  </si>
  <si>
    <t>0.5%</t>
  </si>
  <si>
    <t>4.6%</t>
  </si>
  <si>
    <t>3.8%</t>
  </si>
  <si>
    <t>Material inputs (ton/ton product)</t>
  </si>
  <si>
    <t>Precursor</t>
  </si>
  <si>
    <t xml:space="preserve">Li2CO3  </t>
  </si>
  <si>
    <t>LiOH</t>
  </si>
  <si>
    <t>Energy consumption  (mmBtu/ton  product)</t>
  </si>
  <si>
    <t>Electricity</t>
  </si>
  <si>
    <t>Non-combustion  process emissions  (g/ton product)</t>
  </si>
  <si>
    <t>CO  
2</t>
  </si>
  <si>
    <t>0.949</t>
  </si>
  <si>
    <t>0.246</t>
  </si>
  <si>
    <t>24.765</t>
  </si>
  <si>
    <t>NiSO  
4</t>
  </si>
  <si>
    <t>CoSO  
4</t>
  </si>
  <si>
    <t>MnSO  
4</t>
  </si>
  <si>
    <t>NaOH (100%)</t>
  </si>
  <si>
    <t>NH OH (100%) 
4</t>
  </si>
  <si>
    <t>Water consumption  (gal/ton  product)</t>
  </si>
  <si>
    <t>Water</t>
  </si>
  <si>
    <t>Natural gas</t>
  </si>
  <si>
    <t>1.340</t>
  </si>
  <si>
    <t>0.168</t>
  </si>
  <si>
    <t>0.163</t>
  </si>
  <si>
    <t>0.890</t>
  </si>
  <si>
    <t>0.124</t>
  </si>
  <si>
    <t>168.62</t>
  </si>
  <si>
    <t>38.618</t>
  </si>
  <si>
    <t>Section</t>
  </si>
  <si>
    <t>Item</t>
  </si>
  <si>
    <t>Electrolyte: Ethylene Carbonate</t>
  </si>
  <si>
    <t>Electrolyte: Dimethyl Carbonate</t>
  </si>
  <si>
    <t>Plastic: Polyethylene Terephthalate</t>
  </si>
  <si>
    <t>Totals (kg)</t>
  </si>
  <si>
    <t>BEV_NMC811</t>
  </si>
  <si>
    <t>Category</t>
  </si>
  <si>
    <t>Carbon</t>
  </si>
  <si>
    <t>LiPF6</t>
  </si>
  <si>
    <t>Ethylene Carbonate</t>
  </si>
  <si>
    <t>Dimethyl Carbonate</t>
  </si>
  <si>
    <t>Polypropylene</t>
  </si>
  <si>
    <t>Polyethylene</t>
  </si>
  <si>
    <t>Polyethylene Terephthalate</t>
  </si>
  <si>
    <t>col_1</t>
  </si>
  <si>
    <t>Vehicle Range (miles)</t>
  </si>
  <si>
    <t>300</t>
  </si>
  <si>
    <t>70.6</t>
  </si>
  <si>
    <t>247.9</t>
  </si>
  <si>
    <t>Material</t>
  </si>
  <si>
    <t>NMC111</t>
  </si>
  <si>
    <t>NMC622</t>
  </si>
  <si>
    <t>Cell</t>
  </si>
  <si>
    <t>Copper (cell)</t>
  </si>
  <si>
    <t>Aluminum (cell)</t>
  </si>
  <si>
    <t>Ethylene carbonate</t>
  </si>
  <si>
    <t>Dimethyl carbonate</t>
  </si>
  <si>
    <t>Polyethylene terephthalate</t>
  </si>
  <si>
    <t>Lithium</t>
  </si>
  <si>
    <t>Nickel</t>
  </si>
  <si>
    <t>Manganese</t>
  </si>
  <si>
    <t>Cobalt</t>
  </si>
  <si>
    <t>Iron</t>
  </si>
  <si>
    <t>-</t>
  </si>
  <si>
    <t>Phosphorus</t>
  </si>
  <si>
    <t>Oxygen</t>
  </si>
  <si>
    <t>Module</t>
  </si>
  <si>
    <t>Copper (module)</t>
  </si>
  <si>
    <t>Aluminum (module)</t>
  </si>
  <si>
    <t>Insulation (module)</t>
  </si>
  <si>
    <t>Electronic parts (module)</t>
  </si>
  <si>
    <t>Pack</t>
  </si>
  <si>
    <t>Copper (pack)</t>
  </si>
  <si>
    <t>Aluminum (pack)</t>
  </si>
  <si>
    <t>Insulation (pack)</t>
  </si>
  <si>
    <t>Electronic parts (pack)</t>
  </si>
  <si>
    <t>Total</t>
  </si>
  <si>
    <t>Specific Energy (Wh/kg)</t>
  </si>
  <si>
    <t>Energy (kWh)</t>
  </si>
  <si>
    <t>5.3) Battery Size in Peak Battery Energy (High Energy Applications), kWh</t>
  </si>
  <si>
    <t>Li-Ion</t>
  </si>
  <si>
    <t>EV: Conventional Material</t>
  </si>
  <si>
    <t>EV: Lightweight Material</t>
  </si>
  <si>
    <t>LMO</t>
  </si>
  <si>
    <t>LFP</t>
  </si>
  <si>
    <t>NCA</t>
  </si>
  <si>
    <t>NMC532</t>
  </si>
  <si>
    <t>NMC95</t>
  </si>
  <si>
    <t>5.7) Battery Specific Energy</t>
  </si>
  <si>
    <t>Li-ion Battery Specific Energy (Wh/kg)</t>
  </si>
  <si>
    <t>EV: 300-mile</t>
  </si>
  <si>
    <t>Wh/kg</t>
  </si>
  <si>
    <t>Wh/lb</t>
  </si>
  <si>
    <t>EV</t>
  </si>
  <si>
    <t xml:space="preserve">    Active Material</t>
  </si>
  <si>
    <t xml:space="preserve">    Graphite/Carbon</t>
  </si>
  <si>
    <t xml:space="preserve">    Silicon</t>
  </si>
  <si>
    <t xml:space="preserve">    Binder</t>
  </si>
  <si>
    <t xml:space="preserve">    Copper</t>
  </si>
  <si>
    <t xml:space="preserve">    Wrought Aluminum</t>
  </si>
  <si>
    <t xml:space="preserve">    Cast Aluminum</t>
  </si>
  <si>
    <r>
      <t xml:space="preserve">    Electrolyte: LiPF</t>
    </r>
    <r>
      <rPr>
        <vertAlign val="subscript"/>
        <sz val="8"/>
        <rFont val="Arial"/>
        <family val="2"/>
      </rPr>
      <t>6</t>
    </r>
  </si>
  <si>
    <t xml:space="preserve">    Electrolyte: Ethylene Carbonate</t>
  </si>
  <si>
    <t xml:space="preserve">    Electrolyte: Dimethyl Carbonate</t>
  </si>
  <si>
    <t xml:space="preserve">    Plastic: Polypropylene</t>
    <phoneticPr fontId="0" type="noConversion"/>
  </si>
  <si>
    <t xml:space="preserve">    Plastic: Polyethylene</t>
  </si>
  <si>
    <t xml:space="preserve">    Plastic: Polymer</t>
  </si>
  <si>
    <t xml:space="preserve">    Plastic: Polyethylene Terephthalate</t>
  </si>
  <si>
    <t xml:space="preserve">    Steel</t>
  </si>
  <si>
    <t xml:space="preserve">    Stainless Steel</t>
  </si>
  <si>
    <t xml:space="preserve">    Ceramic</t>
  </si>
  <si>
    <t xml:space="preserve">    Thermal Insulation</t>
  </si>
  <si>
    <t xml:space="preserve">    Coolant: Glycol</t>
  </si>
  <si>
    <t xml:space="preserve">    Electronic Parts</t>
  </si>
  <si>
    <t>EV: 300 miles</t>
  </si>
  <si>
    <t>7) Battery material composition %</t>
  </si>
  <si>
    <t>8) Specific energy dependency on EV range and Battery chemistry</t>
  </si>
  <si>
    <t>EV: 150 Miles</t>
  </si>
  <si>
    <t>EV: 200 Miles</t>
  </si>
  <si>
    <t>EV: 300 Miles</t>
  </si>
  <si>
    <t>EV: 400 Miles</t>
  </si>
  <si>
    <t>9.1)  Precursor material use: ton per ton of product</t>
  </si>
  <si>
    <t>Sulfuric acid (H2SO4)</t>
  </si>
  <si>
    <t>Ammonia (NH3)</t>
  </si>
  <si>
    <t>Nickel Sulfate (NiSO4)</t>
  </si>
  <si>
    <t>Cobalt Sulfate (CoSO4)</t>
  </si>
  <si>
    <t>Manganese Sulfate (MnSO4)</t>
  </si>
  <si>
    <t>Sodium Hydroxide (NaOH)</t>
  </si>
  <si>
    <t>Ammonium Hydroxide (NH4OH)</t>
  </si>
  <si>
    <t>Hydrochloric Acid (HCl)</t>
  </si>
  <si>
    <t>Hydrogen peroxide (H2O2)</t>
  </si>
  <si>
    <t>Soda ash (Na2CO3)</t>
  </si>
  <si>
    <t>9.2) Cathode Material Use: ton per ton of  product</t>
  </si>
  <si>
    <t>Ni1/3Co1/3Mn1/3(OH)2</t>
  </si>
  <si>
    <t>Ni0.5Co0.2Mn0.3(OH)2</t>
  </si>
  <si>
    <t>Ni0.6Co0.2Mn0.2(OH)2</t>
  </si>
  <si>
    <t>Ni0.8Co0.1Mn0.1(OH)2</t>
  </si>
  <si>
    <t>Ni0.8Co0.15Al0.05(OH)2</t>
  </si>
  <si>
    <t>Lithium Hydoxide (LiOH)</t>
  </si>
  <si>
    <t>Oxygen (O2)</t>
  </si>
  <si>
    <t>Phosphoric Acid (H3PO4)</t>
  </si>
  <si>
    <t>Iron Sulfate (FeSO4)</t>
  </si>
  <si>
    <t>Cobalt Oxide (Co3O4)</t>
  </si>
  <si>
    <t>Lithium Carbonate (Li2CO3)</t>
  </si>
  <si>
    <t>Iron Oxide (Fe3O4)</t>
  </si>
  <si>
    <t>Diammonium Phosphate</t>
  </si>
  <si>
    <t>NMP</t>
  </si>
  <si>
    <t>Mn2O3</t>
  </si>
  <si>
    <t>Aluminum sulfate (Al2(SO4)3)</t>
  </si>
  <si>
    <t>Ni0.95Co0.025Mn0.025(OH)2</t>
  </si>
  <si>
    <t>9.3) Energy Consumption and Emissions for precursor production</t>
  </si>
  <si>
    <t>Energy inputs: mmBtu per ton</t>
  </si>
  <si>
    <t xml:space="preserve">     Total energy</t>
  </si>
  <si>
    <t xml:space="preserve">     Fossil fuels</t>
  </si>
  <si>
    <t xml:space="preserve">     Coal</t>
  </si>
  <si>
    <t xml:space="preserve">     Natural gas</t>
  </si>
  <si>
    <t xml:space="preserve">     Petroleum</t>
  </si>
  <si>
    <t>Water consumption</t>
  </si>
  <si>
    <t>Total Emissions: grams per ton of product</t>
  </si>
  <si>
    <t xml:space="preserve">     VOC</t>
  </si>
  <si>
    <t xml:space="preserve">     CO</t>
  </si>
  <si>
    <t xml:space="preserve">     NOx</t>
  </si>
  <si>
    <t xml:space="preserve">     PM10</t>
  </si>
  <si>
    <t xml:space="preserve">     PM2.5</t>
  </si>
  <si>
    <t xml:space="preserve">     SOx</t>
  </si>
  <si>
    <t xml:space="preserve">     BC</t>
  </si>
  <si>
    <t xml:space="preserve">     OC</t>
  </si>
  <si>
    <t xml:space="preserve">     CH4</t>
  </si>
  <si>
    <t xml:space="preserve">     N2O</t>
  </si>
  <si>
    <t xml:space="preserve">     CO2</t>
  </si>
  <si>
    <t>Urban Emissions: grams per ton of product</t>
  </si>
  <si>
    <t>9.4) Energy Consumption and Emissions for cathode production</t>
  </si>
  <si>
    <t>3. Vehicle Battery and Fluids Weight, pounds per vehicle</t>
  </si>
  <si>
    <t>3.1) Battery Weight</t>
  </si>
  <si>
    <t>2.3) Li-Ion Battery</t>
  </si>
  <si>
    <t>Weight by Materials: lb per battery</t>
  </si>
  <si>
    <t xml:space="preserve">    Aluminum Sheet (Automotive)</t>
  </si>
  <si>
    <r>
      <t xml:space="preserve">    Electrolyte: LiPF</t>
    </r>
    <r>
      <rPr>
        <vertAlign val="subscript"/>
        <sz val="10"/>
        <rFont val="Arial"/>
        <family val="2"/>
      </rPr>
      <t>6</t>
    </r>
  </si>
  <si>
    <t xml:space="preserve">    Rubber</t>
  </si>
  <si>
    <t>Energy use: mmBtu per vehicle lifetime</t>
  </si>
  <si>
    <t>Total Emissions: grams per vehicle lifetime</t>
  </si>
  <si>
    <t xml:space="preserve">     CO2 (VOC, CO, CO2)</t>
  </si>
  <si>
    <t xml:space="preserve">     GHGs</t>
  </si>
  <si>
    <t>Urban Emissions: grams per vehicle lifetime</t>
  </si>
  <si>
    <t>Total Mass</t>
  </si>
  <si>
    <t>kg</t>
  </si>
  <si>
    <t>4.3) Li-Ion</t>
  </si>
  <si>
    <t>Aluminum Sheet (Automotive)</t>
  </si>
  <si>
    <t>Plastic: Polymer</t>
  </si>
  <si>
    <t>Stainless Steel</t>
  </si>
  <si>
    <t>Rubber</t>
  </si>
  <si>
    <t>Energy Use: mmBtu per lb of material product</t>
  </si>
  <si>
    <t>Total Emissions: grams</t>
  </si>
  <si>
    <t xml:space="preserve">     NOx </t>
  </si>
  <si>
    <t>Urban Emissions: grams</t>
  </si>
  <si>
    <t>NCM (ton/ton LiNi0.8Co0.1Mn0.1O2)</t>
  </si>
  <si>
    <t>Nickel Cobalt Manganese Hydroxide (Ni0.8Co0.1Mn0.1(OH)2)</t>
  </si>
  <si>
    <t xml:space="preserve">LI-ion battery </t>
  </si>
  <si>
    <t>Energy Use: mmBtu per kWh of battery</t>
  </si>
  <si>
    <t>6.2) Battery Assembly: Per unit kWh of the battery</t>
  </si>
  <si>
    <t>Energy Use: mmBtu per ton of material product</t>
  </si>
  <si>
    <t>Water consumption (gal/ton)</t>
  </si>
  <si>
    <t>Total Emissions: g/ton of material product</t>
  </si>
  <si>
    <t>Urban Emissions: g/ton of material product</t>
  </si>
  <si>
    <t>M [aluminium]</t>
  </si>
  <si>
    <t>M [cobalt]</t>
  </si>
  <si>
    <t>M [copper]</t>
  </si>
  <si>
    <t>M [graphite]</t>
  </si>
  <si>
    <t>M [lithium]</t>
  </si>
  <si>
    <t>M [manganese]</t>
  </si>
  <si>
    <t>M [nickel]</t>
  </si>
  <si>
    <t>M [steel]</t>
  </si>
  <si>
    <t>Element</t>
  </si>
  <si>
    <t>Mass fraction</t>
  </si>
  <si>
    <t>% by mass</t>
  </si>
  <si>
    <t>Ni</t>
  </si>
  <si>
    <t>Co</t>
  </si>
  <si>
    <t>Mn</t>
  </si>
  <si>
    <t>O</t>
  </si>
  <si>
    <t>H</t>
  </si>
  <si>
    <t>Weight by Materials: kg per battery</t>
  </si>
  <si>
    <t>lbs</t>
  </si>
  <si>
    <t>Li</t>
  </si>
  <si>
    <t>Molecular weight</t>
  </si>
  <si>
    <r>
      <t xml:space="preserve">2. Specification of Total Vehicle Weight, </t>
    </r>
    <r>
      <rPr>
        <b/>
        <sz val="11"/>
        <color theme="1"/>
        <rFont val="Aptos Narrow"/>
        <family val="2"/>
        <scheme val="minor"/>
      </rPr>
      <t>pounds</t>
    </r>
  </si>
  <si>
    <t>Battery Material Mass, kg</t>
  </si>
  <si>
    <t>Molecular weight NMC</t>
  </si>
  <si>
    <t>Energy Use: mmBtu per ton of product</t>
  </si>
  <si>
    <t>NMC: Co-precipitation (LiNi0.8Co0.1Mn0.1O2)</t>
  </si>
  <si>
    <t>Battery assembly</t>
  </si>
  <si>
    <t>Production/ manufacturing of Nickel Cobalt Manganese Hydroxide (Ni0.8Co0.1Mn0.1(OH)2)</t>
  </si>
  <si>
    <t>Total energy consumption for Ni0.8Co0.1Mn0.1(OH)2</t>
  </si>
  <si>
    <t>production/ manufacturing of NMC811 cathode</t>
  </si>
  <si>
    <t>2) Summary of Energy Consumption and Emissions of Material Products</t>
  </si>
  <si>
    <t>Virgin Steel</t>
  </si>
  <si>
    <t>Recycled Steel</t>
  </si>
  <si>
    <t>Steel Credit</t>
  </si>
  <si>
    <t>Average Steel</t>
  </si>
  <si>
    <t>1) Key Input Parameters (from the Mat_Inputs sheet)</t>
  </si>
  <si>
    <t>1.1) Share of Virgin and Recycled Materials Used in Vehicle for Recycled Content LCA Method</t>
  </si>
  <si>
    <t>Virgin Material Product</t>
  </si>
  <si>
    <t>Recycled Material Product</t>
  </si>
  <si>
    <t>Scrap Material Product</t>
  </si>
  <si>
    <t>Aluminum Extruded (Non-Automotive)</t>
  </si>
  <si>
    <t>Aluminum Sheet (Non-Automotive)</t>
  </si>
  <si>
    <t>Aluminum Foil (Non-Automotive)</t>
  </si>
  <si>
    <t>Aluminum Extrusion (Automotive)</t>
  </si>
  <si>
    <t>Lead</t>
  </si>
  <si>
    <t>Magnesium</t>
  </si>
  <si>
    <t>1.2) Recycling Rate for End of Life Recycling LCA Method</t>
  </si>
  <si>
    <t>Recycling Rate at End of Life</t>
  </si>
  <si>
    <t>Virgin Aluminum Sheet (Automotive)</t>
  </si>
  <si>
    <t>Recycled Aluminum Sheet (Automotive)</t>
  </si>
  <si>
    <t>Scrap-based Aluminum Sheet (Automotive)</t>
  </si>
  <si>
    <t>Average Aluminum Sheet (Automotive)</t>
  </si>
  <si>
    <t>Aluminum Sheet Credit (Automotive)</t>
  </si>
  <si>
    <t>Pre-processing</t>
  </si>
  <si>
    <t>Recycling</t>
  </si>
  <si>
    <t>Pyrometallurgical processing</t>
  </si>
  <si>
    <t>Hydrometallurgical processing</t>
  </si>
  <si>
    <t>Direct recycling</t>
  </si>
  <si>
    <t>Energy Use: mmBtu per ton of battery cells recycled</t>
  </si>
  <si>
    <t>Water consumption (gal/ton battery cells recycled)</t>
  </si>
  <si>
    <t>Total Emissions: grams per ton of battery cells recycled</t>
  </si>
  <si>
    <t>Urban Emissions: grams per ton of battery cells recycled</t>
  </si>
  <si>
    <t>NMC(811)</t>
  </si>
  <si>
    <t>mmbtu/ton</t>
  </si>
  <si>
    <t>mmbtu/lb</t>
  </si>
  <si>
    <t>subtotal</t>
  </si>
  <si>
    <t>mmbtu/kWh</t>
  </si>
  <si>
    <t>total</t>
  </si>
  <si>
    <t>6) Summary of Energy Consumption and Emissions Related to Copper</t>
  </si>
  <si>
    <t>Sulfidic Ore (per ton of copper)</t>
  </si>
  <si>
    <t>Laterite Ore</t>
  </si>
  <si>
    <t>US Consumption Mix: Laterite + Sulfide</t>
  </si>
  <si>
    <t>Copper: combined</t>
  </si>
  <si>
    <t>Mining</t>
  </si>
  <si>
    <t>Beneficiation</t>
  </si>
  <si>
    <t>Smelting/ Refining</t>
  </si>
  <si>
    <t>Drawing wire</t>
  </si>
  <si>
    <t>Final Copper - U.S. Consumption Mix (Sulfide Ore)</t>
  </si>
  <si>
    <t>Final Copper Product - U.S. Consumption Mix (Sulfide Ore)</t>
  </si>
  <si>
    <t>Final Copper - US Consumption Mix (Laterite Ore)</t>
  </si>
  <si>
    <t xml:space="preserve">Final Copper - US Consumption Mix </t>
  </si>
  <si>
    <t xml:space="preserve">Final Copper Product - US Consumption Mix </t>
  </si>
  <si>
    <t>Energy Use: mmBtu</t>
  </si>
  <si>
    <t>per ton</t>
  </si>
  <si>
    <t>per lb</t>
  </si>
  <si>
    <t>2) Summary of Energy Consumption and Emissions Related to Recovered Materials</t>
  </si>
  <si>
    <t>Cobalt sulfate (CoSO4)</t>
  </si>
  <si>
    <t>Nickel sulfate (NiSO4)</t>
  </si>
  <si>
    <t>Lithium carbonate (Li2CO3)</t>
  </si>
  <si>
    <t>Manganese sulfate (MnSO4)</t>
  </si>
  <si>
    <t>Energy Use: mmBtu per ton of recycled materials</t>
  </si>
  <si>
    <t>Total Emissions: grams per ton of recycled materials</t>
  </si>
  <si>
    <t>Urban Emissions: grams per ton of recycled materials</t>
  </si>
  <si>
    <t>1.4) Process Outputs</t>
  </si>
  <si>
    <t xml:space="preserve">GREET 2024 Rev1 </t>
  </si>
  <si>
    <t xml:space="preserve">lbs </t>
  </si>
  <si>
    <t>Molecular weight LiNi₀.8Co₀.1Mn₀.1O₂</t>
  </si>
  <si>
    <t xml:space="preserve">Total </t>
  </si>
  <si>
    <t>Cell weight</t>
  </si>
  <si>
    <t>Raw Material</t>
  </si>
  <si>
    <t>as available in cell</t>
  </si>
  <si>
    <t xml:space="preserve">required for cell manufacturing </t>
  </si>
  <si>
    <t>LiCO3</t>
  </si>
  <si>
    <t>Al</t>
  </si>
  <si>
    <t>Cu</t>
  </si>
  <si>
    <t>CoSO4</t>
  </si>
  <si>
    <t>NiSO4</t>
  </si>
  <si>
    <t>MnSO4</t>
  </si>
  <si>
    <t>TOTAL:</t>
  </si>
  <si>
    <t>GREET 2024 Rev1</t>
  </si>
  <si>
    <t xml:space="preserve">Mass of Steel </t>
  </si>
  <si>
    <t>Mass of Aluminum</t>
  </si>
  <si>
    <t>Total Aluminum</t>
  </si>
  <si>
    <t>Aluminum that can be recycled (module + pack)</t>
  </si>
  <si>
    <t>O Winjobi 2020</t>
  </si>
  <si>
    <t>molecular weight of NiSO4</t>
  </si>
  <si>
    <t>molecular weight of CoSO4</t>
  </si>
  <si>
    <t xml:space="preserve">Total Aluminum </t>
  </si>
  <si>
    <t>molecular weight of MnSO4</t>
  </si>
  <si>
    <t>molecular weight of LiCO3</t>
  </si>
  <si>
    <t xml:space="preserve">Picostoste - Elligen </t>
  </si>
  <si>
    <t>Battery Weight</t>
  </si>
  <si>
    <t xml:space="preserve">    Electrolyte: LiPF6</t>
  </si>
  <si>
    <t xml:space="preserve">    Plastic: Polypropylene</t>
  </si>
  <si>
    <t>Battery Range</t>
  </si>
  <si>
    <t xml:space="preserve">Battery Size in Peak Battery Energy </t>
  </si>
  <si>
    <t>87 kWh</t>
  </si>
  <si>
    <t>Battery Pack Specific Energy</t>
  </si>
  <si>
    <t>197.7 Wh/kg</t>
  </si>
  <si>
    <t>438 kg</t>
  </si>
  <si>
    <t>300 miles</t>
  </si>
  <si>
    <t xml:space="preserve">Battery Compositions </t>
  </si>
  <si>
    <t>% mass basis</t>
  </si>
  <si>
    <t>Company</t>
  </si>
  <si>
    <t>Website</t>
  </si>
  <si>
    <t>Product/ Facility Type</t>
  </si>
  <si>
    <t>Product</t>
  </si>
  <si>
    <t>State/ Province</t>
  </si>
  <si>
    <t>Production Capacity</t>
  </si>
  <si>
    <t>Status</t>
  </si>
  <si>
    <t>NAATBatt Member</t>
  </si>
  <si>
    <t>Facility Name</t>
  </si>
  <si>
    <t>Workforce</t>
  </si>
  <si>
    <t>Supply Chain Segment</t>
  </si>
  <si>
    <t>Headquarter Company</t>
  </si>
  <si>
    <t>Higher Wire Inc.</t>
  </si>
  <si>
    <t>https://higherwire.com/</t>
  </si>
  <si>
    <t>4R's - Repair, Remanufacture, Refurbish and/or Repurpose</t>
  </si>
  <si>
    <t>Second life battery</t>
  </si>
  <si>
    <t>AZ</t>
  </si>
  <si>
    <t>1.5 MWh/yr</t>
  </si>
  <si>
    <t>Commercial</t>
  </si>
  <si>
    <t>Yes</t>
  </si>
  <si>
    <t>Phoenix, 1321 W McKinley St, Phoenix, AZ 85007, 480-442-2007</t>
  </si>
  <si>
    <t>Downstream</t>
  </si>
  <si>
    <t>Higher Wire Inc., Phoenix, AZ, US</t>
  </si>
  <si>
    <t>Bamboo Charge</t>
  </si>
  <si>
    <t>https://bamboocharge.com/battery-2/</t>
  </si>
  <si>
    <t>Sorted End-of-life Battery</t>
  </si>
  <si>
    <t>CA</t>
  </si>
  <si>
    <t>–</t>
  </si>
  <si>
    <t>No</t>
  </si>
  <si>
    <t>Bamboo Charge, 1190 Saratoga Ave, San Jose, CA 95129, 408-650-2999</t>
  </si>
  <si>
    <t>Bamboo Charge, San Jose, CA, US</t>
  </si>
  <si>
    <t>Smartville Inc.</t>
  </si>
  <si>
    <t>https://smartville.io/</t>
  </si>
  <si>
    <t>Second Life Battery</t>
  </si>
  <si>
    <t>Pre-commercial/ startup</t>
  </si>
  <si>
    <t>Smartville, 2227 Faraday Ave, Carlsbad, CA 92011, 510-305-2944</t>
  </si>
  <si>
    <t>smarville.io, Carlsbad, CA, US</t>
  </si>
  <si>
    <t>B2U Storage Solutions Inc</t>
  </si>
  <si>
    <t>https://www.b2uco.com/</t>
  </si>
  <si>
    <t>17 MWh installation</t>
  </si>
  <si>
    <t>SEPV Sierra, 450 W. Ave. G, Lancaster, CA 93536</t>
  </si>
  <si>
    <t>B2U Storage Solutions Inc, Los Angeles, CA, US</t>
  </si>
  <si>
    <t>Nethers Batteries</t>
  </si>
  <si>
    <t>http://netherswholesale.com/</t>
  </si>
  <si>
    <t>MI</t>
  </si>
  <si>
    <t>Nethers Batteries, 1422 Ruddiman Dr., North Muskegon, MI 49445, 740-404-9650</t>
  </si>
  <si>
    <t>Nethers Batteries, North Muskegon, MI, US</t>
  </si>
  <si>
    <t>Rejoule Energy</t>
  </si>
  <si>
    <t>https://rejouleenergy.com/</t>
  </si>
  <si>
    <t>Energy Storage Systems</t>
  </si>
  <si>
    <t>Rejoule Energy, 2888 Gundry Ave, Signal Hill, CA 90755</t>
  </si>
  <si>
    <t>Rejoule Energy, Signal Hill, CA, US</t>
  </si>
  <si>
    <t>Cirba Solutions</t>
  </si>
  <si>
    <t>https://www.cirbasolutions.com/</t>
  </si>
  <si>
    <t>Planned</t>
  </si>
  <si>
    <t>Recycling Facility, Eloy, AZ 85128, 520-723-4167</t>
  </si>
  <si>
    <t>Cirba Solutions, Charlotte, NC, US</t>
  </si>
  <si>
    <t>Element Energy, Inc.</t>
  </si>
  <si>
    <t>https://www.elementenergy.com/</t>
  </si>
  <si>
    <t>Element Energy, Inc., 3479 Edison Way, Menlo Park, CA 94025, 650-330-6600</t>
  </si>
  <si>
    <t>www.elementenergy.com, Menlo Park, CA, US</t>
  </si>
  <si>
    <t>Spiers New Technologies (SNT)</t>
  </si>
  <si>
    <t>https://www.spiersnewtechnologies.com/</t>
  </si>
  <si>
    <t>OK</t>
  </si>
  <si>
    <t>Spiers New Technologies, 1500 SE 89th St, Oklahoma City, OK 73105, 405-605-8066</t>
  </si>
  <si>
    <t>Cox Automotive, Oklahoma City, OK, US</t>
  </si>
  <si>
    <t>Global Battery Solutions</t>
  </si>
  <si>
    <t>https://www.globalbatterysolutions.com/</t>
  </si>
  <si>
    <t>Global Battery Solutions, 581 Ottawa Avenue, Suite 100, Holland, MI 49423, 616-392-6911</t>
  </si>
  <si>
    <t>Global Battery Solutions, Holland, MI, US</t>
  </si>
  <si>
    <t>ATC Drivetrain</t>
  </si>
  <si>
    <t>https://atcdrivetrain.com/products/electrification/</t>
  </si>
  <si>
    <t>Other</t>
  </si>
  <si>
    <t>ATC Drive Train, 9901 W Reno Ave, Oklahoma City, OK 73127, 405-577-9901</t>
  </si>
  <si>
    <t>ATC Drivetrain, Oklahoma City, OK, US</t>
  </si>
  <si>
    <t>Battery M.D. Inc.</t>
  </si>
  <si>
    <t>http://www.batterymd.com/</t>
  </si>
  <si>
    <t>Battery M.D. Inc., 5926 Patrol Rd, Mc Clellan Park, CA 95662, 916-641-1807</t>
  </si>
  <si>
    <t>Battery MD Inc, North Highlands, CA, US</t>
  </si>
  <si>
    <t>RePurpose Energy, Inc.</t>
  </si>
  <si>
    <t>https://www.repurpose.energy/</t>
  </si>
  <si>
    <t>100 GWh cathode and anode materials</t>
  </si>
  <si>
    <t>RePurpose Energy, Inc., 149 Grobric Ct Suite E, Fairfield, CA 94534, 224- 456-5626</t>
  </si>
  <si>
    <t>RePurpose Energy, Inc., Fairfield, CA, US</t>
  </si>
  <si>
    <t>Cycling Batteries LLC.</t>
  </si>
  <si>
    <t>https://www.cyclingbatteries.com/</t>
  </si>
  <si>
    <t>Second Life Ebike Battery</t>
  </si>
  <si>
    <t>NY</t>
  </si>
  <si>
    <t>Ad Black, 3 Wentworth Ct, Chatham, NY 12037, 646-508-2975</t>
  </si>
  <si>
    <t>Cycling Batteries LLC., Chatham, NY, US</t>
  </si>
  <si>
    <t>Sybesma’s Electronics</t>
  </si>
  <si>
    <t>https://sybesmas.com/</t>
  </si>
  <si>
    <t>Sybesma’s Electronics, 581 Ottawa Ave # 100, Holland, MI 49423, 616-392-6911</t>
  </si>
  <si>
    <t>Sybema's Electronics, Holland, MI, US</t>
  </si>
  <si>
    <t>Battery recycling - hydro/ pyro/ direct</t>
  </si>
  <si>
    <t>Cathode Precursor</t>
  </si>
  <si>
    <t>BC</t>
  </si>
  <si>
    <t>4,500 MT/yr</t>
  </si>
  <si>
    <t>Recycling Facility, 9384 Highway 22A, Trail, BC V1R 4W6, Canada, 877-468-6926</t>
  </si>
  <si>
    <t>Electra Battery Materials Corp.</t>
  </si>
  <si>
    <t>https://electrabmc.com/</t>
  </si>
  <si>
    <t>Battery grade metal sulfates</t>
  </si>
  <si>
    <t>ON</t>
  </si>
  <si>
    <t>2,500 T/yr</t>
  </si>
  <si>
    <t>Phase 2, Highway 567, North Cobalt, ON P0J 1RO, Canada, 775-856-5700</t>
  </si>
  <si>
    <t>Electra Battery Materials Corp., Toronto, ON, Canada</t>
  </si>
  <si>
    <t>Battery grade salts</t>
  </si>
  <si>
    <t>SC</t>
  </si>
  <si>
    <t>Recycling Facility, Columbia, SC, 800-852-8127</t>
  </si>
  <si>
    <t>Aqua Metals LLC</t>
  </si>
  <si>
    <t>https://www.aquametals.com/</t>
  </si>
  <si>
    <t>Mixed metal intermediates - alloy/ salts/ sulfates/ mattes</t>
  </si>
  <si>
    <t>NV</t>
  </si>
  <si>
    <t>10,000 MT/yr</t>
  </si>
  <si>
    <t>Under construction</t>
  </si>
  <si>
    <t>Aqua Metals Sierra ARC Campus, 5370 Kietzke Ln, Ste 201, Reno, NV 89511</t>
  </si>
  <si>
    <t>Aqua Metals LLC, Reno, NV, US</t>
  </si>
  <si>
    <t>75 MT/yr</t>
  </si>
  <si>
    <t>Aqua Metals Innovation Center, 160 Denmark Dr, McCarran, NV 89434</t>
  </si>
  <si>
    <t>Aqual Metals LLC, Reno, NV, US</t>
  </si>
  <si>
    <t>Lithion Technologies</t>
  </si>
  <si>
    <t>https://www.lithiontechnologies.com/</t>
  </si>
  <si>
    <t>QC</t>
  </si>
  <si>
    <t>20,000 T/yr</t>
  </si>
  <si>
    <t>Lithion St-Bruno, St-Bruno-de-Montrarville, QC, Canada, 514-353-4008</t>
  </si>
  <si>
    <t>Lithion Recycling, Anjou, QC, Canada</t>
  </si>
  <si>
    <t>Agmet LLC</t>
  </si>
  <si>
    <t>http://www.agmetmetals.com/</t>
  </si>
  <si>
    <t>OH</t>
  </si>
  <si>
    <t>50,000 MT waste/yr</t>
  </si>
  <si>
    <t>Agmet - Oakwood Village, 7800 Medusa St., Oakwood Village, OH 44146, 440-439-7400</t>
  </si>
  <si>
    <t>Agmet LLC, Oakwood, OH, US</t>
  </si>
  <si>
    <t>WeRecycleBatteries.com</t>
  </si>
  <si>
    <t>https://www.werecyclebatteries.com/</t>
  </si>
  <si>
    <t>Collection and Logistics</t>
  </si>
  <si>
    <t>WeRecycleBatteries.com, 1562 Crittenden Rd., Alden, NY 14004, 585-902-8110</t>
  </si>
  <si>
    <t>WeRecycleBatteries.com, Alden, NY, US</t>
  </si>
  <si>
    <t>Interstate Battery Recycling LLC</t>
  </si>
  <si>
    <t>https://www.interstatebatteries.com/recycling</t>
  </si>
  <si>
    <t>End-of-life Battery</t>
  </si>
  <si>
    <t>TX</t>
  </si>
  <si>
    <t>Interstate Batteries, 12770 Merit Dr Ste 300, Dallas, TX 75251, 888-872-4001</t>
  </si>
  <si>
    <t>Interstate Batteries, Dallas, TX, US</t>
  </si>
  <si>
    <t>IT eCycling (ITeC) Solutions LLC</t>
  </si>
  <si>
    <t>https://www.itecycling.com/</t>
  </si>
  <si>
    <t>TN</t>
  </si>
  <si>
    <t>IT eCycling Solutions, 1601 SE Tater Peeler Rd, Lebanon, TN 37090, 734-604-6119</t>
  </si>
  <si>
    <t>IT eCycling Solutions, Lebanon, TN, US</t>
  </si>
  <si>
    <t>A3 Global</t>
  </si>
  <si>
    <t>https://a3global.com/</t>
  </si>
  <si>
    <t>Repair, remanufacture, refurbish and/or repurpose/reuse;</t>
  </si>
  <si>
    <t>PA</t>
  </si>
  <si>
    <t>A3 Global, 300 Schell LN, Suite 309-310, Phoenixville, PA 19460, 445-345-6225</t>
  </si>
  <si>
    <t>A3 Global, Phoenixville, PA, US</t>
  </si>
  <si>
    <t>NC</t>
  </si>
  <si>
    <t>HQ, 2115 Rexford Rd Suite 550, Charlotte, NC 28211, 317-243-0811</t>
  </si>
  <si>
    <t>Call2Recycle</t>
  </si>
  <si>
    <t>https://www.call2recycle.org/</t>
  </si>
  <si>
    <t>GA</t>
  </si>
  <si>
    <t>3,838 MT/yr</t>
  </si>
  <si>
    <t>US HQ, 1000 Parkwood Circle, Atlanta, GA 30339, 877-723-1297</t>
  </si>
  <si>
    <t>Call 2 Recycle, Atlanta, GA, US</t>
  </si>
  <si>
    <t>Canadian HQ, 5140 Yonge St, Suite 1570, Toronto, ON M2N6L7, 888-224-9764</t>
  </si>
  <si>
    <t>Call 2 Recycle, Toronto, ON, Canada</t>
  </si>
  <si>
    <t>Blue Star Recyclers</t>
  </si>
  <si>
    <t>https://www.bluestarrecyclers.org/</t>
  </si>
  <si>
    <t>Collection, Disassembling and/ or Storage (Universal Waste Handlers)</t>
  </si>
  <si>
    <t>CO</t>
  </si>
  <si>
    <t>10,500 tons electronic waste/yr</t>
  </si>
  <si>
    <t>Denver, 953 Decatur St., Ste C, Denver, CO 80204, 303-534-1667</t>
  </si>
  <si>
    <t>Blue Star Recyclers, Denver, CO, US</t>
  </si>
  <si>
    <t>Secure E-Waste Solutions</t>
  </si>
  <si>
    <t>https://www.sesrecycling.com/</t>
  </si>
  <si>
    <t>Secure E-Waste Solutions, 8810 Rehco Rd, Suite C, San Diego, CA 92121, 858-909-0802</t>
  </si>
  <si>
    <t>SES, San Diego, CA, US</t>
  </si>
  <si>
    <t>Gem Southwest LLC</t>
  </si>
  <si>
    <t>https://www.gemsouthwestllc.com/</t>
  </si>
  <si>
    <t>Gem Southwest LLC, 3950 Platinum Way, Dallas, TX 75233, 909-983-7098</t>
  </si>
  <si>
    <t>Gem Iron and Metal, Inc, Ontario, CA, US</t>
  </si>
  <si>
    <t>Natural Ventures</t>
  </si>
  <si>
    <t>https://natven.net/</t>
  </si>
  <si>
    <t>Metals</t>
  </si>
  <si>
    <t>UT</t>
  </si>
  <si>
    <t>Natural Ventures, 2904 West 500 South, Salt Lake City, UT 84104, 801-633-4595</t>
  </si>
  <si>
    <t>Natural Ventures, Salt Lake City, UT, US</t>
  </si>
  <si>
    <t>UW Handling, 8090 Lancaster-Newark Rd NE, Baltimore, OH 43105, 740-653-6290</t>
  </si>
  <si>
    <t>Car-Part.com</t>
  </si>
  <si>
    <t>https://www.car-part.com/</t>
  </si>
  <si>
    <t>KY</t>
  </si>
  <si>
    <t>Car-Part.com, 1980 Highland Pike, Ft. Wright, KY 41017, 859-344-1925</t>
  </si>
  <si>
    <t>car-part.com, Ft. Wright, KY, US</t>
  </si>
  <si>
    <t>Battery Recyclers of America</t>
  </si>
  <si>
    <t>https://www.batteryrecyclersofamerica.com/</t>
  </si>
  <si>
    <t>Battery Recyclers of America, 1920 McKinney Ave, Dallas, TX 75201, 866-609-1561</t>
  </si>
  <si>
    <t>Battery Recyclers of America, Dallas, TX, US</t>
  </si>
  <si>
    <t>Mesa, 618 E Auto Center Dr Ste111, Mesa, AZ 85204, 800-852-8127</t>
  </si>
  <si>
    <t>GlobalTech Environmental</t>
  </si>
  <si>
    <t>https://www.globaltechenvironmental.com/</t>
  </si>
  <si>
    <t>WI</t>
  </si>
  <si>
    <t>GlobalTech Environmental, 205 N Depot St, Fox Lake, WI 53933, 800-770-2330</t>
  </si>
  <si>
    <t>GlobalTech Environmental, Fox Lake, WI, US</t>
  </si>
  <si>
    <t>22,680 MT/yr</t>
  </si>
  <si>
    <t>Wixom, 4930 Holtz Dr, Wixom, MI 48393, 800-852-8127</t>
  </si>
  <si>
    <t>Anaheim, 1125 Beacon St., Brea, CA 92821, 800-548-8797</t>
  </si>
  <si>
    <t>Natural Ventures - CO, 7071 Lowell Blvd, Westminster, CO 80302, 801-706-7930</t>
  </si>
  <si>
    <t>Redivivus</t>
  </si>
  <si>
    <t>https://www.redivivus.tech/</t>
  </si>
  <si>
    <t>Collection, Neutralization; Disassembling and/ or Storage (Universal Waste Handlers)</t>
  </si>
  <si>
    <t>Neutralization; Logistics</t>
  </si>
  <si>
    <t>Redivivus, 2012 North Cascade Avenue, Colorado Springs, CO 80907</t>
  </si>
  <si>
    <t>Redivivus, Colorado Springs, CO, US</t>
  </si>
  <si>
    <t>2ndLife Batteries.com</t>
  </si>
  <si>
    <t>https://2ndlifebatteries.com</t>
  </si>
  <si>
    <t>Collection; Logistics; Repurposing</t>
  </si>
  <si>
    <t>Stationary Energy Storage Systems</t>
  </si>
  <si>
    <t>2ndLife Batteries.com, 1562 Crittenden Rd., Alden, NY 14004, 585-902-8110</t>
  </si>
  <si>
    <t>2ndLife Batteries.com, Alden, NY, US</t>
  </si>
  <si>
    <t>Electroflow Technologies, Inc</t>
  </si>
  <si>
    <t>https://www.eflowtech.com/</t>
  </si>
  <si>
    <t>Direct Lithium Extraction (DLE) Technology</t>
  </si>
  <si>
    <t>Lithium chemicals (hydroxide/carbonate)</t>
  </si>
  <si>
    <t>Burlingame R&amp;D Facility, 863 Mitten Rd, Suite A, Burlingame, CA 94010, 703-600-9303</t>
  </si>
  <si>
    <t>Other - Research</t>
  </si>
  <si>
    <t>Electroflow Technologies, Inc, Burlingame, CA, US</t>
  </si>
  <si>
    <t>Li Industries</t>
  </si>
  <si>
    <t>https://www.li-ind.com/</t>
  </si>
  <si>
    <t>500 Mt/yr</t>
  </si>
  <si>
    <t>Li Industries, 10021 Rodney St, Pineville, NC 28134</t>
  </si>
  <si>
    <t>Li Industries, Blacksburg, VA, US</t>
  </si>
  <si>
    <t>ExPost Technology</t>
  </si>
  <si>
    <t>https://www.exposttechnology.com/</t>
  </si>
  <si>
    <t>Cathode</t>
  </si>
  <si>
    <t>San Diego, 9500 Gilman Dr, San Diego, CA 92037, 858-214-8579</t>
  </si>
  <si>
    <t>ExPost Technology, San Diego, CA, US</t>
  </si>
  <si>
    <t>Li Industries, Inc</t>
  </si>
  <si>
    <t>Li Industries, Inc Ohio, TBD, Kettering, OH</t>
  </si>
  <si>
    <t>Li Industries, TBD, Charlotte, NC TBD</t>
  </si>
  <si>
    <t>Hardware &amp; Software Systems</t>
  </si>
  <si>
    <t>Other - Modeling and Software</t>
  </si>
  <si>
    <t>Hexagon Manufacturing</t>
  </si>
  <si>
    <t>https://hexagon.com/company/divisions/manufacturing-intelligence</t>
  </si>
  <si>
    <t>Battery modeling and simulation tools and hardware devices for battery manufacturing and inspection</t>
  </si>
  <si>
    <t>RI</t>
  </si>
  <si>
    <t>250 Circuit Dr, North Kingstown, RI 02852</t>
  </si>
  <si>
    <t>Hexagon, Stockholm, Sweden</t>
  </si>
  <si>
    <t>Redwood Materials</t>
  </si>
  <si>
    <t>https://www.redwoodmaterials.com/</t>
  </si>
  <si>
    <t>Hydrometallurgical recycling</t>
  </si>
  <si>
    <t>40 MT LIBs/yr</t>
  </si>
  <si>
    <t>Redwood Materials - TRIC, 515 Double Eagle Ct, Reno, NV 89521</t>
  </si>
  <si>
    <t>Redwood Materials, Reno, NV, US</t>
  </si>
  <si>
    <t>Green Li-ion</t>
  </si>
  <si>
    <t>https://www.greenli-ion.com/</t>
  </si>
  <si>
    <t>Precursor Cathode Active Material, Graphite, Lithium carbonate</t>
  </si>
  <si>
    <t>1,100 MT Precursor cathode active material/yr</t>
  </si>
  <si>
    <t>GLMC1, Atoka, OK 74525</t>
  </si>
  <si>
    <t>Green Li-ion, Singapore, Singapore</t>
  </si>
  <si>
    <t>Ascend Elements</t>
  </si>
  <si>
    <t>https://www.ascendelements.com/</t>
  </si>
  <si>
    <t>Anode</t>
  </si>
  <si>
    <t>Ascend Elements Kentucky, TBD, Hopkinsville, KY</t>
  </si>
  <si>
    <t>MA</t>
  </si>
  <si>
    <t>270 MT batteries/yr</t>
  </si>
  <si>
    <t>Recycling Operations, 54 Rockdale Street, Worcester, MA 1606, 508-936-7731</t>
  </si>
  <si>
    <t>Ascend Elements, Westborough, MA, US</t>
  </si>
  <si>
    <t>Black Mass</t>
  </si>
  <si>
    <t>30,000 MT batteries/yr</t>
  </si>
  <si>
    <t>Base 1, 9176 Industrial Drive NE, Covington, GA 30014, 470-441-7116</t>
  </si>
  <si>
    <t>SungEel HiTech Co., Ltd.</t>
  </si>
  <si>
    <t>https://www.sungeelht.com/en/</t>
  </si>
  <si>
    <t>SungEel Recycling Park, Hayestone Brady Business Park, Toccoa, GA 30577, 82-63-466-9200</t>
  </si>
  <si>
    <t>SungEel HiTech. Co., Ltd., Gunsan-si, Jeollabuk-do, Korea</t>
  </si>
  <si>
    <t>American Battery Technology Company</t>
  </si>
  <si>
    <t>https://www.americanbatterytechnology.com/</t>
  </si>
  <si>
    <t>Battery-grade lithium hydroxide</t>
  </si>
  <si>
    <t>20,000 MT/yr</t>
  </si>
  <si>
    <t>Fernley, NV, 395 Logan Ln, Fernley, NV 89408, 775-473-4744</t>
  </si>
  <si>
    <t>American Battery Technology, Fernley, NV, US</t>
  </si>
  <si>
    <t>Battery grade anode materials</t>
  </si>
  <si>
    <t>36,000 MT battery-grade copper foil</t>
  </si>
  <si>
    <t>Redwood Materials - McCarran, 1201 Norway Dr, McCarran, NV 89434</t>
  </si>
  <si>
    <t>Battery grade cathode materials</t>
  </si>
  <si>
    <t>Redwood Materials - SC, 114 Three Point Dr, Ridgeville, SC 29472</t>
  </si>
  <si>
    <t>Redwood Materials, Carson City, NV, US</t>
  </si>
  <si>
    <t>Clarios</t>
  </si>
  <si>
    <t>https://www.clarios.com/</t>
  </si>
  <si>
    <t>Clarios South Carolina, 1024 Old Walhalla Highway, West Union, SC 29696</t>
  </si>
  <si>
    <t>200 MT/yr</t>
  </si>
  <si>
    <t>Lithion Centre of Excellence, 7100 Jean-Talon East, Suite 410, Anjou, QC H1M 3S3, Canada, 514-353-4008</t>
  </si>
  <si>
    <t>Coherent Corp.</t>
  </si>
  <si>
    <t>https://www.coherent.com/</t>
  </si>
  <si>
    <t>Precursor and Cathode Active Materials</t>
  </si>
  <si>
    <t>SHARP Plant #1, 375 Saxonburg Blvd., Saxonburg, PA 16056-9499, 724-352-4455</t>
  </si>
  <si>
    <t>Coherent Corp., Saxonburg, PA, US</t>
  </si>
  <si>
    <t>ABTC South Carolina, TBD, TBD, SC</t>
  </si>
  <si>
    <t>ACE Green Recycling</t>
  </si>
  <si>
    <t>https://www.acegreenrecycling.com/</t>
  </si>
  <si>
    <t>20,000 MT batteries/yr</t>
  </si>
  <si>
    <t>ACE Green Recycling - Houston, 2700 Post Oak Blvd. Suite 2100, Houston, TX 77056</t>
  </si>
  <si>
    <t>ACE Green Recycling, Singapore, Singapore</t>
  </si>
  <si>
    <t>Redwood Materials - Research and Product Development</t>
  </si>
  <si>
    <t>Redwood Materials, 2800 Lockheed Way, Carson City, NV 89706</t>
  </si>
  <si>
    <t>RecycLiCo Battery Materials Inc.</t>
  </si>
  <si>
    <t>https://www.recyclico.com/</t>
  </si>
  <si>
    <t>180 MT/yr</t>
  </si>
  <si>
    <t>RecycLiCo Pilot Plant, 13260 Delf Pl #150, Richmond, BC V6V 2A2, Canada, 604-273-3600</t>
  </si>
  <si>
    <t>RecycLiCo Battery Materials Inc., Surrey, BC, Canada</t>
  </si>
  <si>
    <t>Nth Cycle Inc.</t>
  </si>
  <si>
    <t>https://www.nthcycle.com/</t>
  </si>
  <si>
    <t>Nickel hyroxide, Cobalt hydroxide, Lithium carbonate</t>
  </si>
  <si>
    <t>Nth Cycle Inc., 9530 Le Saint Dr, Faifield, OH 45014, 518- 534-0562</t>
  </si>
  <si>
    <t>Nth Cycle Inc., Burlington, MA, US</t>
  </si>
  <si>
    <t>Cathode precursor, Battery grade metal sulfates</t>
  </si>
  <si>
    <t>Apex 1, 6505 John Rivers Rd, Hopkinsville, KY 42266, 270-402-8943</t>
  </si>
  <si>
    <t>100,000 MT cathode active materials</t>
  </si>
  <si>
    <t>Redwood Materials - Tahoe Campus, 1201 Norway Dr, McCarran, NV 89434</t>
  </si>
  <si>
    <t>Umicore USA</t>
  </si>
  <si>
    <t>https://www.umicore.com/</t>
  </si>
  <si>
    <t>Hydrometallurgical recycling and Pyrometallurgy recycling</t>
  </si>
  <si>
    <t>Recycling HQ, 3600 Glenwood Ave, Raleigh, NC 27612, 919-874-7171</t>
  </si>
  <si>
    <t>Umicore, Brussels, Brussels Capital Region, Belgium</t>
  </si>
  <si>
    <t>Veolia North America</t>
  </si>
  <si>
    <t>https://lamprecycling.veoliaes.com/about_us/facilities/portwashington?pid=768</t>
  </si>
  <si>
    <t>Veolia Port Washington Recycling Facility, 1275 Mineral Springs Dr, Port Washington, WI 53074, 262-243-8900</t>
  </si>
  <si>
    <t>Veolia North America, Aubervilliers, France</t>
  </si>
  <si>
    <t>https://lamprecycling.veoliaes.com/about_us/facilities/tallahassee?pid=772</t>
  </si>
  <si>
    <t>FL</t>
  </si>
  <si>
    <t>Veolia Tallahassee Recycling Facility, 342 Marpan Lane, Tallahassee, FL 32305, 850-877-8299</t>
  </si>
  <si>
    <t>https://lamprecycling.veoliaes.com/about_us/facilities/Pickering-ON?pid=27713</t>
  </si>
  <si>
    <t>Veolia Pickering Recycling Facility, 820 McKay Road, Pickering, ON L1W 2Y4, Canada, 905-686-2111</t>
  </si>
  <si>
    <t>Clean Earth Inc.</t>
  </si>
  <si>
    <t>https://www.cleanearthinc.com/locations/allentown-pennsylvania-mitchell-ave</t>
  </si>
  <si>
    <t>Pyrometallurgy recycling</t>
  </si>
  <si>
    <t>Mixed Alloy</t>
  </si>
  <si>
    <t>5,000 MT/yr</t>
  </si>
  <si>
    <t>Mitchell Ave, 2591 Mitchell Ave, Allentown, PA 18103, 610-797-7608</t>
  </si>
  <si>
    <t>Clean Earth Inc, King of Prussia, PA, US</t>
  </si>
  <si>
    <t>https://www.cleanearthinc.com/locations/west-melbourne-florida</t>
  </si>
  <si>
    <t>15 MT/yr</t>
  </si>
  <si>
    <t>West Melbourne, 4317 J Fortune Place, West Melbourne, FL 32904, 321-952-1516</t>
  </si>
  <si>
    <t>Glencore</t>
  </si>
  <si>
    <t>https://www.glencore.com/</t>
  </si>
  <si>
    <t>20,000 MT recyclables</t>
  </si>
  <si>
    <t>Glencore Sudbury Nickel Smelter, 2 Longyear Dr, Greater Sudbury, ON P0M 1S0, Canada, 750-699-3400</t>
  </si>
  <si>
    <t>Glencore, Barr, Zug, Switzerland</t>
  </si>
  <si>
    <t>INMETCO</t>
  </si>
  <si>
    <t>https://inmetco.com/</t>
  </si>
  <si>
    <t>INMETCO, One INMETCO Dr, Ellwood City, PA 16117, 724-758-5515</t>
  </si>
  <si>
    <t>Befesa, Erandio, Biscay, Spain</t>
  </si>
  <si>
    <t>Kinsbursky Brothers International</t>
  </si>
  <si>
    <t>https://www.kbirecycling.com/</t>
  </si>
  <si>
    <t>Recycled materials</t>
  </si>
  <si>
    <t>San Leandro Facility, 2040 Farallon Dr, San Leandro, CA 94557, 800-548-8797</t>
  </si>
  <si>
    <t>Kinsbursky Brothers International, Anaheim, CA, US</t>
  </si>
  <si>
    <t>Sonocharge Energy</t>
  </si>
  <si>
    <t>https://www.sonochargeenergy.com/</t>
  </si>
  <si>
    <t>piezoacoustic rechargeable; Lithium ion batteries</t>
  </si>
  <si>
    <t>Sonocharge Energy, 6335 Ferris Square, Suite A, San Diego, CA 92121, 800-505-7283</t>
  </si>
  <si>
    <t>Sonocharge Energy, San Diego, CA, US</t>
  </si>
  <si>
    <t>https://ascendelements.com/about-us/</t>
  </si>
  <si>
    <t>Nickel manganese cobalt recycling</t>
  </si>
  <si>
    <t>Worcester Plant, 54 Rockdale St, Worcester, MA 01606</t>
  </si>
  <si>
    <t>Battery Resourcers, Worcester, MA, US</t>
  </si>
  <si>
    <t>Nickel manganese cobalt cathode recycling production</t>
  </si>
  <si>
    <t>Novi Plant, 27101 Cabaret Drive, Novi, MI 48377</t>
  </si>
  <si>
    <t>Georgetown Facility, 2699 FM 1460, Suite E, Georgetown, TX 78626, 800-548-8797</t>
  </si>
  <si>
    <t>Nickel manganese cobalt recycling precursor production</t>
  </si>
  <si>
    <t>Westborough Plant, 133 Flanders Road, Westborough, MA 01581, 774-530-6377</t>
  </si>
  <si>
    <t>Radius Recycling</t>
  </si>
  <si>
    <t>https://www.radiusrecycling.com/company</t>
  </si>
  <si>
    <t>OR</t>
  </si>
  <si>
    <t>Radius Recycling, 299 SW Clay Street, suite 400, Portland, OR 97201, 506-224-9900</t>
  </si>
  <si>
    <t>Radius Recycling, Portland, OR, US</t>
  </si>
  <si>
    <t>OneD Battery Sciences</t>
  </si>
  <si>
    <t>https://www.onedsinanode.com/</t>
  </si>
  <si>
    <t>Materials recovery</t>
  </si>
  <si>
    <t>OneD Battery Sciences, 2625 Hanover Street, Palo Alto, CA 94304</t>
  </si>
  <si>
    <t>OneD Battery Sciences, Palo Alto, CA, US</t>
  </si>
  <si>
    <t>Aleon Renewable Metals</t>
  </si>
  <si>
    <t>https://aleonmetals.com/arm/</t>
  </si>
  <si>
    <t>Battery packs</t>
  </si>
  <si>
    <t>Aleon Renewable Metals (ARM), 302 Midway Road, Freeport, TX 77542, (979) 415-1500</t>
  </si>
  <si>
    <t>Aleon Metals, Freeport, TX, US</t>
  </si>
  <si>
    <t>OnTo Technology LLC</t>
  </si>
  <si>
    <t>https://onto-technology.com/</t>
  </si>
  <si>
    <t>Recycling and materials recovery</t>
  </si>
  <si>
    <t>OnTo Technology, 63221 Service Rd Suite F, Bend, OR 97703, 541-389-7897</t>
  </si>
  <si>
    <t>OnTo Technology LLC, Bend, OR, US</t>
  </si>
  <si>
    <t>Battery Metals, Inc</t>
  </si>
  <si>
    <t>https://www.batterymetalsinc.com/</t>
  </si>
  <si>
    <t>Recovered critical minerals (Li, Co, Ni, Mn, Cu, Graphite)</t>
  </si>
  <si>
    <t>12,000 T/yr</t>
  </si>
  <si>
    <t>North Carolina Campus, 5540 Centerview Drive, Suite 200, Raleigh, NC 27606</t>
  </si>
  <si>
    <t>Battery Metals, Inc, Raleigh, NC, US</t>
  </si>
  <si>
    <t>American Hyperform, Inc.</t>
  </si>
  <si>
    <t>https://www.americanhyperform.com/</t>
  </si>
  <si>
    <t>Recycling process development</t>
  </si>
  <si>
    <t>Data; Process definition</t>
  </si>
  <si>
    <t>American Hyperform Laboratory/ Pilot Plant, Oklahoma City, OK, 215-300-0927</t>
  </si>
  <si>
    <t>American Hyperform, Inc., Philadelphia, PA, US</t>
  </si>
  <si>
    <t>Union Battery Dosposal, Inc</t>
  </si>
  <si>
    <t>www.unionbatterydisposal.com</t>
  </si>
  <si>
    <t>Recycling, E-Waste</t>
  </si>
  <si>
    <t>Union Battery Disposal, Inc, 5312 W Mission Blvd, Ontario, CA 91762, 909-627-7717</t>
  </si>
  <si>
    <t>Union Battery Disposal, Inc, Ontario, CA, US</t>
  </si>
  <si>
    <t>Blue Whale Materials</t>
  </si>
  <si>
    <t>https://www.bluewhalematerials.com/</t>
  </si>
  <si>
    <t>Reuse/Repurpose Lithium Batteries</t>
  </si>
  <si>
    <t>Blue Whale Materials, TBD, Bartlesville, OK TBD, TBD</t>
  </si>
  <si>
    <t>Blue Whale Materials LLC, Washington, DC, US</t>
  </si>
  <si>
    <t>Recycling, Hazardous Waste TSDF</t>
  </si>
  <si>
    <t>Recovered metals and components</t>
  </si>
  <si>
    <t>7,500,000 lbs/month</t>
  </si>
  <si>
    <t>Anaheim Facility, 125 E Commercial St., Ste. A, Anaheim, CA 92801, 800-548-8797</t>
  </si>
  <si>
    <t>Kinsbursky Brothers International (KBI), Anaheim, CA, US</t>
  </si>
  <si>
    <t>ReElement Technologies</t>
  </si>
  <si>
    <t>https://www.reelementtech.com/</t>
  </si>
  <si>
    <t>Recycling, Recovery, Refining</t>
  </si>
  <si>
    <t>Battery-grade material production (e.g., anode active material, battery-grade cobalt sulfate), Cathode battery grade materials, lithium carbonate, lithium hydroxide, Research and Development</t>
  </si>
  <si>
    <t>IN</t>
  </si>
  <si>
    <t>5 MT/yr</t>
  </si>
  <si>
    <t>Noblesville Commercialization Facility, 1716 Pleasant St, Noblesville, IN 46060, 317-855-9926</t>
  </si>
  <si>
    <t>American Resources Corporation, IN, US</t>
  </si>
  <si>
    <t>BBB Industries - Terrepower</t>
  </si>
  <si>
    <t>https://www.pactthermoshield.com/</t>
  </si>
  <si>
    <t>Recycling, Refurbishing</t>
  </si>
  <si>
    <t>Reuse/Repurpose Lithium Batteries for Solar Systems</t>
  </si>
  <si>
    <t>AL</t>
  </si>
  <si>
    <t>BBB Industries, 29627 Renaissance Blvd, Daphne, AL 36526, 800-280-2737</t>
  </si>
  <si>
    <t>BBB Industries - Terrepower, Daphne, AL, US</t>
  </si>
  <si>
    <t>Bridge Green Upcycle</t>
  </si>
  <si>
    <t>https://bridgegreenupcycle.com/</t>
  </si>
  <si>
    <t>Battery recycling (hydro, pyro, and direct</t>
  </si>
  <si>
    <t>120 MT/year</t>
  </si>
  <si>
    <t>Infinity Lab&amp;b Prototype Facility, 1093 Clark St, Endicott, NY 13760, 607-296-0372</t>
  </si>
  <si>
    <t>Bridge Green Upcycle, Binghamton, NY, US</t>
  </si>
  <si>
    <t>2nd Life Battery LLC</t>
  </si>
  <si>
    <t>https://2ndlifebattery.com/</t>
  </si>
  <si>
    <t>Refurbishing and Repurposing</t>
  </si>
  <si>
    <t>Reconditioned hybrid vehicle batteries</t>
  </si>
  <si>
    <t>Central Oregon Facility, 58555 George Millican Rd, Bend, OR 97701, 541-233-7707</t>
  </si>
  <si>
    <t>2nd Life Battery LLC, Bend, OR, US</t>
  </si>
  <si>
    <t>POEN America Inc</t>
  </si>
  <si>
    <t>https://www.poen.co.kr/en/</t>
  </si>
  <si>
    <t>POEN, 4801 Wilshire Blvd. Suite 260, Los Angeles, CA 90010</t>
  </si>
  <si>
    <t>POEN, Hwaseong-si, Gyeonggi-do, SE, Korea</t>
  </si>
  <si>
    <t>Moment Energy</t>
  </si>
  <si>
    <t>https://www.momentenergy.com/</t>
  </si>
  <si>
    <t>Battery Energy Storage System</t>
  </si>
  <si>
    <t>1 GWh cathode and anode materials</t>
  </si>
  <si>
    <t>Moment Energy, TBD, Taylor, TX</t>
  </si>
  <si>
    <t>Moment Energy, Coquitlam, BC, Canada</t>
  </si>
  <si>
    <t>10 Mvh</t>
  </si>
  <si>
    <t>Coquitlam Manufacturing Hub &amp; HQ, 7 Burbidge St #103, Coquitlam, BC V3k 7B2, Canada</t>
  </si>
  <si>
    <t>M&amp;M Auto Parts, Inc.</t>
  </si>
  <si>
    <t>https://mmauto.com/about/</t>
  </si>
  <si>
    <t>VA</t>
  </si>
  <si>
    <t>Fredericksburg, 1351 Belman Road, Fredericksburg, VA 22401, 540-720-1000</t>
  </si>
  <si>
    <t>M&amp;M Auto Parts, Inc., Fredericksburg, VA, US</t>
  </si>
  <si>
    <t>Stafford, 1489 Richmond Hwy, Fredericksburg, VA 22408, 5406592211</t>
  </si>
  <si>
    <t>Tidewater, 941-C Canal Drive, Chesapeake, VA 23323, 7574476051</t>
  </si>
  <si>
    <t>Cox Automotive EV Battery Solutions</t>
  </si>
  <si>
    <t>https://www.coxautoinc.com/ev-battery-solutions/</t>
  </si>
  <si>
    <t>Repair, Remanufacturing repurposing</t>
  </si>
  <si>
    <t>Battery Packs</t>
  </si>
  <si>
    <t>EV Battery Solutions, 1500 SE 89th St, Oklahoma City, OK 73105, 405-605-8066</t>
  </si>
  <si>
    <t>Cox Automotive, Atlanta, GA, US</t>
  </si>
  <si>
    <t>Robertson's Auto Salvage</t>
  </si>
  <si>
    <t>https://robertsonautosalvage.com/</t>
  </si>
  <si>
    <t>Repair/Recycle</t>
  </si>
  <si>
    <t>End-of-life EV batteries</t>
  </si>
  <si>
    <t>Robertson's Auto Salvage, 2680 Cranberry Hwy, Wareham, MA 2571, 508-295-9444</t>
  </si>
  <si>
    <t>Robertson's Auto Salvage, Wareham, MA, US</t>
  </si>
  <si>
    <t>Samsar Resources</t>
  </si>
  <si>
    <t>https://www.samsarresources.com/</t>
  </si>
  <si>
    <t>Repurpose</t>
  </si>
  <si>
    <t>Lithium Batteries</t>
  </si>
  <si>
    <t>Samsar Resources, 12510 West Airport Blvd., Suite C02, Sugar land, TX 77478, 914-809-9908</t>
  </si>
  <si>
    <t>Samsar Resources, New York, NY, US</t>
  </si>
  <si>
    <t>Relyion</t>
  </si>
  <si>
    <t>https://www.relyionenergy.com</t>
  </si>
  <si>
    <t>Lithium-Ion Batteries</t>
  </si>
  <si>
    <t>Relyion, 4989 Northdale Drive, Fremont, CA 94536, TBD</t>
  </si>
  <si>
    <t>Relyion Energy, Fremont, CA, US</t>
  </si>
  <si>
    <t>Donut Auto Parts</t>
  </si>
  <si>
    <t>https://donutparts.com/</t>
  </si>
  <si>
    <t>Repurposing</t>
  </si>
  <si>
    <t>Repurposed batteries for EVs</t>
  </si>
  <si>
    <t>Donut Auto Parts, 3784 Omec Cir #5, Rancho Cordova, CA 95742, 916-713-5256</t>
  </si>
  <si>
    <t>Donut Auto Parts, Rancho Cordova, CA, US</t>
  </si>
  <si>
    <t>DJ MexCorp</t>
  </si>
  <si>
    <t>https://www.djmexcorp.com/index.html</t>
  </si>
  <si>
    <t>Pretreatment</t>
  </si>
  <si>
    <t>DJ MexCorp, 345 Cloverleaf Dr a, La Puente, CA 91746, 626-723-3373</t>
  </si>
  <si>
    <t>DJ MexCorp, La Puente, CA, US</t>
  </si>
  <si>
    <t>Shredding/ Black mass production</t>
  </si>
  <si>
    <t>OH HQ/ Recycling Facility, 265 Quarry Rd SE, Lancaster, OH 43130, 740-653-6290</t>
  </si>
  <si>
    <t>1,800 MT/yr</t>
  </si>
  <si>
    <t>Li-Cycle Corp.</t>
  </si>
  <si>
    <t>https://www.li-cycle.com/</t>
  </si>
  <si>
    <t>18,000 tons electronic waste/yr</t>
  </si>
  <si>
    <t>Bankrupt</t>
  </si>
  <si>
    <t>New York Spoke, 100 Latona Rd Eastman Business Park, Rochester, NY 14625, 877-542-9254</t>
  </si>
  <si>
    <t>Li-Cycle, Mississauga, ON, Canada</t>
  </si>
  <si>
    <t>https://li-cycle.com/arizona-spoke/</t>
  </si>
  <si>
    <t>Arizona Spoke, 4461 E Nunneley Rd, Gilbert, AZ 85296, 1-877-542-9253</t>
  </si>
  <si>
    <t>5,000 tons electronic waste/yr</t>
  </si>
  <si>
    <t>Ontario Spoke, 158 Hagerman Ave, Kingston, ON K7K 5B8, Canada, 877-542-9253</t>
  </si>
  <si>
    <t>Blue Whale Materials LLC</t>
  </si>
  <si>
    <t>Blue Whale Materials Recycling Plant 1, Bartlesville, OK, 202-596-5523</t>
  </si>
  <si>
    <t>Blue Whale Materials, Washington, DC, US</t>
  </si>
  <si>
    <t>Interco - A Metaltronics Recycler</t>
  </si>
  <si>
    <t>https://intercotradingco.com/</t>
  </si>
  <si>
    <t>IL</t>
  </si>
  <si>
    <t>24,000 MT/yr</t>
  </si>
  <si>
    <t>Interco, 10 Fox Industrial Dr., Madison, IL 62060, 877-200-0840</t>
  </si>
  <si>
    <t>Interco - A Metaltronics Recycler, Madison, IL, US</t>
  </si>
  <si>
    <t>https://li-cycle.com/alabama-spoke/</t>
  </si>
  <si>
    <t>10,000 tons electronic waste/yr</t>
  </si>
  <si>
    <t>Alabama Spoke, 1601 Boone Blvd, Tuscaloosa, AL 35476, 1-877-542-9253</t>
  </si>
  <si>
    <t>Ecobat</t>
  </si>
  <si>
    <t>https://ecobat.com/</t>
  </si>
  <si>
    <t>9,100 MT/yr</t>
  </si>
  <si>
    <t>Casa Grande, 1474 N VIP Blvd, Casa Grande, AZ 85122</t>
  </si>
  <si>
    <t>Ecobat, Dallas, TX, US</t>
  </si>
  <si>
    <t>Aki Battery Recycling</t>
  </si>
  <si>
    <t>https://akirecycling.com/</t>
  </si>
  <si>
    <t>100,000 Evs</t>
  </si>
  <si>
    <t>Aki Battery Recycling, TBD, Southern Ontario, ON, Canada</t>
  </si>
  <si>
    <t>Upstream</t>
  </si>
  <si>
    <t>, Canada</t>
  </si>
  <si>
    <t>United Battery Recyclers Int</t>
  </si>
  <si>
    <t>https://www.ubr-intl.com/</t>
  </si>
  <si>
    <t>United Battery Recyclers Int, Fenton, MI 48430, 248-252-2194</t>
  </si>
  <si>
    <t>United Battery Recyclers Int, Fenton, MI, US</t>
  </si>
  <si>
    <t>Green Metals Battery Innovations, LLC</t>
  </si>
  <si>
    <t>https://news.lgensol.com/</t>
  </si>
  <si>
    <t>Spoke</t>
  </si>
  <si>
    <t>13,500 T/yr</t>
  </si>
  <si>
    <t>Pre-processing Plant, Winston-Salem, NC</t>
  </si>
  <si>
    <t>LG Energy Solution / Toyota Tsusho, Seoul / Tokyo, South Korea / Japan</t>
  </si>
  <si>
    <t>Recycling Coordinators, Inc.</t>
  </si>
  <si>
    <t>https://www.recyclingcoordinators.com/</t>
  </si>
  <si>
    <t>Proprietary</t>
  </si>
  <si>
    <t>Recycling Coordinators, Inc., 600 East Exchange St, Akron, OH 44306, 800-860-6943</t>
  </si>
  <si>
    <t>Recycling Coordinators, Akron, OH,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</si>
</sst>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name val="Calibri"/>
      <family val="2"/>
    </font>
    <font>
      <vertAlign val="subscript"/>
      <sz val="8"/>
      <name val="Arial"/>
      <family val="2"/>
    </font>
    <font>
      <vertAlign val="subscript"/>
      <sz val="10"/>
      <name val="Arial"/>
      <family val="2"/>
    </font>
    <font>
      <b/>
      <sz val="11"/>
      <color rgb="FFFA7D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Calibri"/>
      <family val="2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8" fillId="13" borderId="3" applyNumberFormat="0" applyAlignment="0" applyProtection="0"/>
    <xf numFmtId="0" fontId="9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NumberFormat="0" applyBorder="0" applyAlignment="0" applyProtection="0"/>
  </cellStyleXfs>
  <cellXfs count="53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9" fontId="0" fillId="0" borderId="0" xfId="1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1" xfId="0" applyBorder="1"/>
    <xf numFmtId="0" fontId="4" fillId="2" borderId="1" xfId="0" applyFont="1" applyFill="1" applyBorder="1"/>
    <xf numFmtId="0" fontId="0" fillId="0" borderId="2" xfId="0" applyBorder="1"/>
    <xf numFmtId="0" fontId="0" fillId="0" borderId="0" xfId="0" applyAlignment="1">
      <alignment vertical="center" wrapText="1"/>
    </xf>
    <xf numFmtId="0" fontId="8" fillId="13" borderId="3" xfId="2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9" fontId="0" fillId="0" borderId="1" xfId="1" applyFont="1" applyBorder="1"/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10" fontId="0" fillId="0" borderId="1" xfId="1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/>
    <xf numFmtId="0" fontId="4" fillId="2" borderId="9" xfId="0" applyFont="1" applyFill="1" applyBorder="1"/>
    <xf numFmtId="0" fontId="2" fillId="2" borderId="1" xfId="0" applyFont="1" applyFill="1" applyBorder="1"/>
    <xf numFmtId="0" fontId="0" fillId="0" borderId="0" xfId="0" applyAlignment="1">
      <alignment horizontal="right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14" borderId="0" xfId="3"/>
    <xf numFmtId="10" fontId="0" fillId="0" borderId="0" xfId="1" applyNumberFormat="1" applyFont="1"/>
    <xf numFmtId="0" fontId="3" fillId="0" borderId="0" xfId="0" applyFont="1"/>
    <xf numFmtId="1" fontId="0" fillId="0" borderId="0" xfId="0" applyNumberFormat="1"/>
    <xf numFmtId="3" fontId="0" fillId="0" borderId="0" xfId="0" applyNumberFormat="1"/>
    <xf numFmtId="0" fontId="11" fillId="15" borderId="0" xfId="4"/>
    <xf numFmtId="1" fontId="11" fillId="15" borderId="0" xfId="4" applyNumberFormat="1"/>
    <xf numFmtId="0" fontId="12" fillId="16" borderId="0" xfId="5"/>
    <xf numFmtId="1" fontId="12" fillId="16" borderId="0" xfId="5" applyNumberFormat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6">
    <cellStyle name="Bad" xfId="3" builtinId="27"/>
    <cellStyle name="Calculation" xfId="2" builtinId="22"/>
    <cellStyle name="Good" xfId="4" builtinId="26"/>
    <cellStyle name="Neutral" xfId="5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238125</xdr:colOff>
      <xdr:row>0</xdr:row>
      <xdr:rowOff>0</xdr:rowOff>
    </xdr:from>
    <xdr:to>
      <xdr:col>27</xdr:col>
      <xdr:colOff>343936</xdr:colOff>
      <xdr:row>44</xdr:row>
      <xdr:rowOff>1170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03A90-F096-CCF0-DD46-6F439FF1E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1625" y="0"/>
          <a:ext cx="7421011" cy="83831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A796-047F-47EE-B452-7A24FB5156D3}">
  <dimension ref="A1:L32"/>
  <sheetViews>
    <sheetView workbookViewId="0">
      <selection activeCell="H4" sqref="H4"/>
    </sheetView>
  </sheetViews>
  <sheetFormatPr defaultRowHeight="15" x14ac:dyDescent="0.25"/>
  <cols>
    <col min="7" max="7" width="22" bestFit="1" customWidth="1"/>
    <col min="11" max="11" width="33.140625" bestFit="1" customWidth="1"/>
  </cols>
  <sheetData>
    <row r="1" spans="1:12" x14ac:dyDescent="0.25">
      <c r="A1" s="1"/>
      <c r="B1" s="1"/>
      <c r="C1" s="1"/>
      <c r="D1" s="1"/>
      <c r="K1" s="1"/>
      <c r="L1" s="1"/>
    </row>
    <row r="2" spans="1:12" x14ac:dyDescent="0.25">
      <c r="C2" t="s">
        <v>23</v>
      </c>
      <c r="H2" s="1" t="s">
        <v>52</v>
      </c>
      <c r="L2" t="s">
        <v>57</v>
      </c>
    </row>
    <row r="3" spans="1:12" x14ac:dyDescent="0.25">
      <c r="A3" t="s">
        <v>0</v>
      </c>
      <c r="G3" t="s">
        <v>49</v>
      </c>
      <c r="H3" t="s">
        <v>53</v>
      </c>
      <c r="K3" t="s">
        <v>59</v>
      </c>
      <c r="L3" t="s">
        <v>69</v>
      </c>
    </row>
    <row r="4" spans="1:12" x14ac:dyDescent="0.25">
      <c r="A4" t="s">
        <v>1</v>
      </c>
      <c r="C4" t="s">
        <v>24</v>
      </c>
      <c r="G4" t="s">
        <v>50</v>
      </c>
      <c r="H4" t="s">
        <v>54</v>
      </c>
      <c r="K4" t="s">
        <v>60</v>
      </c>
      <c r="L4" t="s">
        <v>70</v>
      </c>
    </row>
    <row r="5" spans="1:12" x14ac:dyDescent="0.25">
      <c r="A5" t="s">
        <v>2</v>
      </c>
      <c r="C5" t="s">
        <v>25</v>
      </c>
      <c r="G5" t="s">
        <v>51</v>
      </c>
      <c r="H5" s="4" t="s">
        <v>55</v>
      </c>
      <c r="K5" t="s">
        <v>61</v>
      </c>
      <c r="L5" t="s">
        <v>71</v>
      </c>
    </row>
    <row r="6" spans="1:12" x14ac:dyDescent="0.25">
      <c r="A6" t="s">
        <v>3</v>
      </c>
      <c r="C6" t="s">
        <v>26</v>
      </c>
      <c r="H6" t="s">
        <v>57</v>
      </c>
      <c r="K6" t="s">
        <v>62</v>
      </c>
      <c r="L6" t="s">
        <v>72</v>
      </c>
    </row>
    <row r="7" spans="1:12" x14ac:dyDescent="0.25">
      <c r="A7" t="s">
        <v>4</v>
      </c>
      <c r="C7" t="s">
        <v>27</v>
      </c>
      <c r="G7" t="s">
        <v>56</v>
      </c>
      <c r="H7" s="4" t="s">
        <v>58</v>
      </c>
      <c r="K7" t="s">
        <v>5</v>
      </c>
      <c r="L7" t="s">
        <v>73</v>
      </c>
    </row>
    <row r="8" spans="1:12" x14ac:dyDescent="0.25">
      <c r="A8" t="s">
        <v>5</v>
      </c>
      <c r="C8" t="s">
        <v>28</v>
      </c>
      <c r="K8" t="s">
        <v>63</v>
      </c>
      <c r="L8" t="s">
        <v>74</v>
      </c>
    </row>
    <row r="9" spans="1:12" x14ac:dyDescent="0.25">
      <c r="A9" t="s">
        <v>6</v>
      </c>
      <c r="C9" t="s">
        <v>29</v>
      </c>
      <c r="K9" t="s">
        <v>64</v>
      </c>
      <c r="L9" t="s">
        <v>71</v>
      </c>
    </row>
    <row r="10" spans="1:12" x14ac:dyDescent="0.25">
      <c r="A10" t="s">
        <v>7</v>
      </c>
      <c r="C10" t="s">
        <v>30</v>
      </c>
      <c r="K10" t="s">
        <v>7</v>
      </c>
      <c r="L10" t="s">
        <v>75</v>
      </c>
    </row>
    <row r="11" spans="1:12" x14ac:dyDescent="0.25">
      <c r="A11" t="s">
        <v>8</v>
      </c>
      <c r="C11" t="s">
        <v>31</v>
      </c>
      <c r="G11" s="1"/>
      <c r="H11" s="1" t="s">
        <v>57</v>
      </c>
      <c r="K11" t="s">
        <v>8</v>
      </c>
      <c r="L11" t="s">
        <v>76</v>
      </c>
    </row>
    <row r="12" spans="1:12" x14ac:dyDescent="0.25">
      <c r="A12" t="s">
        <v>9</v>
      </c>
      <c r="C12" t="s">
        <v>31</v>
      </c>
      <c r="G12" t="s">
        <v>84</v>
      </c>
      <c r="K12" t="s">
        <v>9</v>
      </c>
      <c r="L12" t="s">
        <v>76</v>
      </c>
    </row>
    <row r="13" spans="1:12" x14ac:dyDescent="0.25">
      <c r="A13" t="s">
        <v>10</v>
      </c>
      <c r="C13" t="s">
        <v>32</v>
      </c>
      <c r="G13" t="s">
        <v>85</v>
      </c>
      <c r="H13" t="s">
        <v>92</v>
      </c>
      <c r="K13" t="s">
        <v>65</v>
      </c>
      <c r="L13" t="s">
        <v>77</v>
      </c>
    </row>
    <row r="14" spans="1:12" x14ac:dyDescent="0.25">
      <c r="A14" t="s">
        <v>11</v>
      </c>
      <c r="C14" t="s">
        <v>33</v>
      </c>
      <c r="G14" s="2" t="s">
        <v>86</v>
      </c>
      <c r="H14" t="s">
        <v>71</v>
      </c>
      <c r="K14" t="s">
        <v>11</v>
      </c>
      <c r="L14" t="s">
        <v>78</v>
      </c>
    </row>
    <row r="15" spans="1:12" x14ac:dyDescent="0.25">
      <c r="A15" t="s">
        <v>12</v>
      </c>
      <c r="C15" t="s">
        <v>34</v>
      </c>
      <c r="G15" t="s">
        <v>87</v>
      </c>
      <c r="H15" t="s">
        <v>93</v>
      </c>
      <c r="K15" t="s">
        <v>12</v>
      </c>
      <c r="L15" t="s">
        <v>79</v>
      </c>
    </row>
    <row r="16" spans="1:12" x14ac:dyDescent="0.25">
      <c r="B16" t="s">
        <v>19</v>
      </c>
      <c r="D16" t="s">
        <v>46</v>
      </c>
      <c r="G16" t="s">
        <v>88</v>
      </c>
      <c r="K16" t="s">
        <v>17</v>
      </c>
      <c r="L16" t="s">
        <v>80</v>
      </c>
    </row>
    <row r="17" spans="1:12" x14ac:dyDescent="0.25">
      <c r="A17" t="s">
        <v>13</v>
      </c>
      <c r="G17" t="s">
        <v>89</v>
      </c>
      <c r="H17" t="s">
        <v>94</v>
      </c>
      <c r="K17" t="s">
        <v>66</v>
      </c>
      <c r="L17" t="s">
        <v>81</v>
      </c>
    </row>
    <row r="18" spans="1:12" x14ac:dyDescent="0.25">
      <c r="A18" t="s">
        <v>5</v>
      </c>
      <c r="C18" t="s">
        <v>35</v>
      </c>
      <c r="G18" t="s">
        <v>90</v>
      </c>
      <c r="K18" t="s">
        <v>67</v>
      </c>
      <c r="L18" t="s">
        <v>82</v>
      </c>
    </row>
    <row r="19" spans="1:12" x14ac:dyDescent="0.25">
      <c r="A19" t="s">
        <v>6</v>
      </c>
      <c r="C19" t="s">
        <v>36</v>
      </c>
      <c r="G19" t="s">
        <v>91</v>
      </c>
      <c r="H19" t="s">
        <v>71</v>
      </c>
      <c r="K19" t="s">
        <v>68</v>
      </c>
      <c r="L19" t="s">
        <v>83</v>
      </c>
    </row>
    <row r="20" spans="1:12" x14ac:dyDescent="0.25">
      <c r="A20" t="s">
        <v>11</v>
      </c>
      <c r="C20" t="s">
        <v>37</v>
      </c>
    </row>
    <row r="21" spans="1:12" x14ac:dyDescent="0.25">
      <c r="A21" t="s">
        <v>14</v>
      </c>
      <c r="C21" t="s">
        <v>38</v>
      </c>
    </row>
    <row r="22" spans="1:12" x14ac:dyDescent="0.25">
      <c r="A22" t="s">
        <v>15</v>
      </c>
      <c r="C22" t="s">
        <v>39</v>
      </c>
      <c r="G22" s="1"/>
      <c r="H22" s="1" t="s">
        <v>57</v>
      </c>
    </row>
    <row r="23" spans="1:12" x14ac:dyDescent="0.25">
      <c r="B23" t="s">
        <v>20</v>
      </c>
      <c r="D23" t="s">
        <v>47</v>
      </c>
      <c r="G23" t="s">
        <v>84</v>
      </c>
    </row>
    <row r="24" spans="1:12" x14ac:dyDescent="0.25">
      <c r="A24" t="s">
        <v>16</v>
      </c>
      <c r="G24" t="s">
        <v>95</v>
      </c>
      <c r="H24" t="s">
        <v>103</v>
      </c>
    </row>
    <row r="25" spans="1:12" x14ac:dyDescent="0.25">
      <c r="A25" t="s">
        <v>5</v>
      </c>
      <c r="C25" t="s">
        <v>40</v>
      </c>
      <c r="G25" t="s">
        <v>96</v>
      </c>
      <c r="H25" t="s">
        <v>104</v>
      </c>
    </row>
    <row r="26" spans="1:12" x14ac:dyDescent="0.25">
      <c r="A26" t="s">
        <v>6</v>
      </c>
      <c r="C26" t="s">
        <v>41</v>
      </c>
      <c r="G26" t="s">
        <v>97</v>
      </c>
      <c r="H26" t="s">
        <v>105</v>
      </c>
    </row>
    <row r="27" spans="1:12" x14ac:dyDescent="0.25">
      <c r="A27" t="s">
        <v>17</v>
      </c>
      <c r="C27" t="s">
        <v>42</v>
      </c>
      <c r="G27" t="s">
        <v>98</v>
      </c>
      <c r="H27" t="s">
        <v>106</v>
      </c>
    </row>
    <row r="28" spans="1:12" x14ac:dyDescent="0.25">
      <c r="A28" t="s">
        <v>14</v>
      </c>
      <c r="C28" t="s">
        <v>43</v>
      </c>
      <c r="G28" t="s">
        <v>99</v>
      </c>
      <c r="H28" t="s">
        <v>107</v>
      </c>
    </row>
    <row r="29" spans="1:12" x14ac:dyDescent="0.25">
      <c r="A29" t="s">
        <v>18</v>
      </c>
      <c r="C29" t="s">
        <v>44</v>
      </c>
      <c r="G29" t="s">
        <v>100</v>
      </c>
    </row>
    <row r="30" spans="1:12" x14ac:dyDescent="0.25">
      <c r="A30" t="s">
        <v>15</v>
      </c>
      <c r="C30" t="s">
        <v>45</v>
      </c>
      <c r="G30" t="s">
        <v>101</v>
      </c>
      <c r="H30" t="s">
        <v>108</v>
      </c>
    </row>
    <row r="31" spans="1:12" x14ac:dyDescent="0.25">
      <c r="B31" t="s">
        <v>21</v>
      </c>
      <c r="D31" t="s">
        <v>48</v>
      </c>
      <c r="G31" t="s">
        <v>88</v>
      </c>
    </row>
    <row r="32" spans="1:12" x14ac:dyDescent="0.25">
      <c r="B32" t="s">
        <v>22</v>
      </c>
      <c r="D32">
        <v>157.68</v>
      </c>
      <c r="G32" t="s">
        <v>102</v>
      </c>
      <c r="H3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D3F-AC6B-449D-A34B-2B9799C4D054}">
  <dimension ref="A1:N28"/>
  <sheetViews>
    <sheetView workbookViewId="0">
      <selection sqref="A1:C28"/>
    </sheetView>
  </sheetViews>
  <sheetFormatPr defaultRowHeight="15" x14ac:dyDescent="0.25"/>
  <cols>
    <col min="1" max="1" width="33.140625" bestFit="1" customWidth="1"/>
    <col min="2" max="2" width="32.28515625" bestFit="1" customWidth="1"/>
    <col min="3" max="3" width="12.85546875" bestFit="1" customWidth="1"/>
    <col min="6" max="6" width="26.7109375" bestFit="1" customWidth="1"/>
    <col min="12" max="12" width="25" bestFit="1" customWidth="1"/>
    <col min="13" max="13" width="12.85546875" bestFit="1" customWidth="1"/>
  </cols>
  <sheetData>
    <row r="1" spans="1:14" x14ac:dyDescent="0.25">
      <c r="A1" s="6" t="s">
        <v>110</v>
      </c>
      <c r="B1" s="6" t="s">
        <v>111</v>
      </c>
      <c r="C1" s="6" t="s">
        <v>116</v>
      </c>
      <c r="L1" s="6" t="s">
        <v>117</v>
      </c>
      <c r="M1" s="6" t="s">
        <v>116</v>
      </c>
    </row>
    <row r="2" spans="1:14" x14ac:dyDescent="0.25">
      <c r="A2" t="s">
        <v>0</v>
      </c>
      <c r="B2" t="s">
        <v>1</v>
      </c>
      <c r="C2">
        <v>89.81</v>
      </c>
      <c r="F2" s="6" t="s">
        <v>125</v>
      </c>
      <c r="G2" s="6" t="s">
        <v>52</v>
      </c>
      <c r="L2" t="s">
        <v>59</v>
      </c>
      <c r="M2">
        <v>31.54</v>
      </c>
      <c r="N2">
        <f>M2*$C$28/100</f>
        <v>89.810149999999993</v>
      </c>
    </row>
    <row r="3" spans="1:14" x14ac:dyDescent="0.25">
      <c r="A3" t="s">
        <v>0</v>
      </c>
      <c r="B3" t="s">
        <v>3</v>
      </c>
      <c r="C3">
        <v>4.99</v>
      </c>
      <c r="F3" t="s">
        <v>49</v>
      </c>
      <c r="G3" t="s">
        <v>53</v>
      </c>
      <c r="L3" t="s">
        <v>118</v>
      </c>
      <c r="M3">
        <v>24.44</v>
      </c>
      <c r="N3">
        <f t="shared" ref="N3:N18" si="0">M3*$C$28/100</f>
        <v>69.5929</v>
      </c>
    </row>
    <row r="4" spans="1:14" x14ac:dyDescent="0.25">
      <c r="A4" t="s">
        <v>0</v>
      </c>
      <c r="B4" t="s">
        <v>2</v>
      </c>
      <c r="C4">
        <v>64.599999999999994</v>
      </c>
      <c r="F4" t="s">
        <v>126</v>
      </c>
      <c r="G4" t="s">
        <v>127</v>
      </c>
      <c r="L4" t="s">
        <v>61</v>
      </c>
      <c r="M4">
        <v>0</v>
      </c>
      <c r="N4">
        <f t="shared" si="0"/>
        <v>0</v>
      </c>
    </row>
    <row r="5" spans="1:14" x14ac:dyDescent="0.25">
      <c r="A5" t="s">
        <v>0</v>
      </c>
      <c r="B5" t="s">
        <v>4</v>
      </c>
      <c r="C5">
        <v>6.31</v>
      </c>
      <c r="F5" t="s">
        <v>51</v>
      </c>
      <c r="G5" s="4" t="s">
        <v>128</v>
      </c>
      <c r="L5" t="s">
        <v>62</v>
      </c>
      <c r="M5">
        <v>2.2200000000000002</v>
      </c>
      <c r="N5">
        <f t="shared" si="0"/>
        <v>6.3214500000000013</v>
      </c>
    </row>
    <row r="6" spans="1:14" x14ac:dyDescent="0.25">
      <c r="A6" t="s">
        <v>0</v>
      </c>
      <c r="B6" t="s">
        <v>5</v>
      </c>
      <c r="C6">
        <v>20.059999999999999</v>
      </c>
      <c r="L6" t="s">
        <v>5</v>
      </c>
      <c r="M6">
        <v>7.23</v>
      </c>
      <c r="N6">
        <f t="shared" si="0"/>
        <v>20.587425000000003</v>
      </c>
    </row>
    <row r="7" spans="1:14" x14ac:dyDescent="0.25">
      <c r="A7" t="s">
        <v>0</v>
      </c>
      <c r="B7" t="s">
        <v>6</v>
      </c>
      <c r="C7">
        <v>11.45</v>
      </c>
      <c r="L7" t="s">
        <v>63</v>
      </c>
      <c r="M7">
        <v>18.41</v>
      </c>
      <c r="N7">
        <f t="shared" si="0"/>
        <v>52.422475000000006</v>
      </c>
    </row>
    <row r="8" spans="1:14" x14ac:dyDescent="0.25">
      <c r="A8" t="s">
        <v>0</v>
      </c>
      <c r="B8" t="s">
        <v>7</v>
      </c>
      <c r="C8">
        <v>3.96</v>
      </c>
      <c r="G8" t="s">
        <v>57</v>
      </c>
      <c r="L8" t="s">
        <v>64</v>
      </c>
      <c r="M8">
        <v>0</v>
      </c>
      <c r="N8">
        <f t="shared" si="0"/>
        <v>0</v>
      </c>
    </row>
    <row r="9" spans="1:14" x14ac:dyDescent="0.25">
      <c r="A9" t="s">
        <v>0</v>
      </c>
      <c r="B9" t="s">
        <v>112</v>
      </c>
      <c r="C9">
        <v>11.05</v>
      </c>
      <c r="F9" t="s">
        <v>56</v>
      </c>
      <c r="G9" t="s">
        <v>129</v>
      </c>
      <c r="L9" t="s">
        <v>119</v>
      </c>
      <c r="M9">
        <v>1.39</v>
      </c>
      <c r="N9">
        <f t="shared" si="0"/>
        <v>3.9580249999999997</v>
      </c>
    </row>
    <row r="10" spans="1:14" x14ac:dyDescent="0.25">
      <c r="A10" t="s">
        <v>0</v>
      </c>
      <c r="B10" t="s">
        <v>113</v>
      </c>
      <c r="C10">
        <v>11.05</v>
      </c>
      <c r="L10" t="s">
        <v>120</v>
      </c>
      <c r="M10">
        <v>3.88</v>
      </c>
      <c r="N10">
        <f t="shared" si="0"/>
        <v>11.048299999999999</v>
      </c>
    </row>
    <row r="11" spans="1:14" x14ac:dyDescent="0.25">
      <c r="A11" t="s">
        <v>0</v>
      </c>
      <c r="B11" t="s">
        <v>10</v>
      </c>
      <c r="C11">
        <v>2.1800000000000002</v>
      </c>
      <c r="L11" t="s">
        <v>121</v>
      </c>
      <c r="M11">
        <v>3.88</v>
      </c>
      <c r="N11">
        <f t="shared" si="0"/>
        <v>11.048299999999999</v>
      </c>
    </row>
    <row r="12" spans="1:14" x14ac:dyDescent="0.25">
      <c r="A12" t="s">
        <v>0</v>
      </c>
      <c r="B12" t="s">
        <v>11</v>
      </c>
      <c r="C12">
        <v>0.48</v>
      </c>
      <c r="L12" t="s">
        <v>122</v>
      </c>
      <c r="M12">
        <v>0.76</v>
      </c>
      <c r="N12">
        <f t="shared" si="0"/>
        <v>2.1640999999999999</v>
      </c>
    </row>
    <row r="13" spans="1:14" x14ac:dyDescent="0.25">
      <c r="A13" t="s">
        <v>0</v>
      </c>
      <c r="B13" t="s">
        <v>114</v>
      </c>
      <c r="C13">
        <v>0.56000000000000005</v>
      </c>
      <c r="L13" t="s">
        <v>123</v>
      </c>
      <c r="M13">
        <v>0.22</v>
      </c>
      <c r="N13">
        <f t="shared" si="0"/>
        <v>0.62645000000000006</v>
      </c>
    </row>
    <row r="14" spans="1:14" x14ac:dyDescent="0.25">
      <c r="A14" t="s">
        <v>0</v>
      </c>
      <c r="B14" t="s">
        <v>19</v>
      </c>
      <c r="C14">
        <v>226.49</v>
      </c>
      <c r="L14" t="s">
        <v>124</v>
      </c>
      <c r="M14">
        <v>0.2</v>
      </c>
      <c r="N14">
        <f t="shared" si="0"/>
        <v>0.56950000000000001</v>
      </c>
    </row>
    <row r="15" spans="1:14" x14ac:dyDescent="0.25">
      <c r="A15" t="s">
        <v>13</v>
      </c>
      <c r="B15" t="s">
        <v>5</v>
      </c>
      <c r="C15">
        <v>0.43</v>
      </c>
      <c r="L15" t="s">
        <v>17</v>
      </c>
      <c r="M15">
        <v>0.62</v>
      </c>
      <c r="N15">
        <f t="shared" si="0"/>
        <v>1.76545</v>
      </c>
    </row>
    <row r="16" spans="1:14" x14ac:dyDescent="0.25">
      <c r="A16" t="s">
        <v>13</v>
      </c>
      <c r="B16" t="s">
        <v>6</v>
      </c>
      <c r="C16">
        <v>11.42</v>
      </c>
      <c r="L16" t="s">
        <v>66</v>
      </c>
      <c r="M16">
        <v>0.37</v>
      </c>
      <c r="N16">
        <f t="shared" si="0"/>
        <v>1.0535749999999999</v>
      </c>
    </row>
    <row r="17" spans="1:14" x14ac:dyDescent="0.25">
      <c r="A17" t="s">
        <v>13</v>
      </c>
      <c r="B17" t="s">
        <v>11</v>
      </c>
      <c r="C17">
        <v>0.13</v>
      </c>
      <c r="L17" t="s">
        <v>67</v>
      </c>
      <c r="M17">
        <v>2.97</v>
      </c>
      <c r="N17">
        <f t="shared" si="0"/>
        <v>8.4570750000000015</v>
      </c>
    </row>
    <row r="18" spans="1:14" x14ac:dyDescent="0.25">
      <c r="A18" t="s">
        <v>13</v>
      </c>
      <c r="B18" t="s">
        <v>14</v>
      </c>
      <c r="C18">
        <v>0.11</v>
      </c>
      <c r="L18" t="s">
        <v>68</v>
      </c>
      <c r="M18">
        <v>1.88</v>
      </c>
      <c r="N18">
        <f t="shared" si="0"/>
        <v>5.3532999999999991</v>
      </c>
    </row>
    <row r="19" spans="1:14" x14ac:dyDescent="0.25">
      <c r="A19" t="s">
        <v>13</v>
      </c>
      <c r="B19" t="s">
        <v>15</v>
      </c>
      <c r="C19">
        <v>1.1200000000000001</v>
      </c>
    </row>
    <row r="20" spans="1:14" x14ac:dyDescent="0.25">
      <c r="A20" t="s">
        <v>13</v>
      </c>
      <c r="B20" t="s">
        <v>20</v>
      </c>
      <c r="C20">
        <v>13.2</v>
      </c>
    </row>
    <row r="21" spans="1:14" x14ac:dyDescent="0.25">
      <c r="A21" t="s">
        <v>16</v>
      </c>
      <c r="B21" t="s">
        <v>5</v>
      </c>
      <c r="C21">
        <v>0.09</v>
      </c>
    </row>
    <row r="22" spans="1:14" x14ac:dyDescent="0.25">
      <c r="A22" t="s">
        <v>16</v>
      </c>
      <c r="B22" t="s">
        <v>6</v>
      </c>
      <c r="C22">
        <v>29.56</v>
      </c>
    </row>
    <row r="23" spans="1:14" x14ac:dyDescent="0.25">
      <c r="A23" t="s">
        <v>16</v>
      </c>
      <c r="B23" t="s">
        <v>17</v>
      </c>
      <c r="C23">
        <v>1.78</v>
      </c>
    </row>
    <row r="24" spans="1:14" x14ac:dyDescent="0.25">
      <c r="A24" t="s">
        <v>16</v>
      </c>
      <c r="B24" t="s">
        <v>14</v>
      </c>
      <c r="C24">
        <v>0.94</v>
      </c>
    </row>
    <row r="25" spans="1:14" x14ac:dyDescent="0.25">
      <c r="A25" t="s">
        <v>16</v>
      </c>
      <c r="B25" t="s">
        <v>18</v>
      </c>
      <c r="C25">
        <v>8.4700000000000006</v>
      </c>
    </row>
    <row r="26" spans="1:14" x14ac:dyDescent="0.25">
      <c r="A26" t="s">
        <v>16</v>
      </c>
      <c r="B26" t="s">
        <v>15</v>
      </c>
      <c r="C26">
        <v>4.22</v>
      </c>
    </row>
    <row r="27" spans="1:14" x14ac:dyDescent="0.25">
      <c r="A27" t="s">
        <v>16</v>
      </c>
      <c r="B27" t="s">
        <v>21</v>
      </c>
      <c r="C27">
        <v>45.06</v>
      </c>
    </row>
    <row r="28" spans="1:14" x14ac:dyDescent="0.25">
      <c r="A28" t="s">
        <v>115</v>
      </c>
      <c r="B28" t="s">
        <v>22</v>
      </c>
      <c r="C28">
        <v>284.75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AF4D-6BE0-49F2-BE48-B80CD0B6C1AC}">
  <dimension ref="A1:L47"/>
  <sheetViews>
    <sheetView workbookViewId="0">
      <selection activeCell="B10" sqref="B10"/>
    </sheetView>
  </sheetViews>
  <sheetFormatPr defaultRowHeight="15" x14ac:dyDescent="0.25"/>
  <cols>
    <col min="2" max="2" width="24.5703125" bestFit="1" customWidth="1"/>
    <col min="3" max="4" width="0" hidden="1" customWidth="1"/>
    <col min="9" max="9" width="32.28515625" bestFit="1" customWidth="1"/>
    <col min="10" max="10" width="12.85546875" bestFit="1" customWidth="1"/>
  </cols>
  <sheetData>
    <row r="1" spans="1:12" x14ac:dyDescent="0.25">
      <c r="A1" s="7" t="s">
        <v>117</v>
      </c>
      <c r="B1" s="7" t="s">
        <v>130</v>
      </c>
      <c r="C1" s="7" t="s">
        <v>131</v>
      </c>
      <c r="D1" s="7" t="s">
        <v>132</v>
      </c>
      <c r="E1" s="7" t="s">
        <v>57</v>
      </c>
      <c r="I1" s="6" t="s">
        <v>111</v>
      </c>
      <c r="J1" s="6" t="s">
        <v>116</v>
      </c>
    </row>
    <row r="2" spans="1:12" x14ac:dyDescent="0.25">
      <c r="A2" t="s">
        <v>133</v>
      </c>
      <c r="B2" t="s">
        <v>4</v>
      </c>
      <c r="C2">
        <v>5.96</v>
      </c>
      <c r="D2">
        <v>3.48</v>
      </c>
      <c r="E2" s="12">
        <v>6.31</v>
      </c>
      <c r="F2" s="8">
        <f>E2/SUM(E2:E30)</f>
        <v>2.2158232959932578E-2</v>
      </c>
      <c r="I2" t="s">
        <v>1</v>
      </c>
      <c r="J2">
        <v>89.81</v>
      </c>
      <c r="K2">
        <f>SUM(E13:E16)</f>
        <v>59.99</v>
      </c>
      <c r="L2">
        <f>K2+E19</f>
        <v>89.81</v>
      </c>
    </row>
    <row r="3" spans="1:12" x14ac:dyDescent="0.25">
      <c r="A3" t="s">
        <v>133</v>
      </c>
      <c r="B3" t="s">
        <v>134</v>
      </c>
      <c r="C3">
        <v>23.17</v>
      </c>
      <c r="D3">
        <v>20.25</v>
      </c>
      <c r="E3" s="13">
        <v>20.059999999999999</v>
      </c>
      <c r="F3" s="8">
        <f>E3/SUM(E3:E31)</f>
        <v>3.8110798692909793E-2</v>
      </c>
      <c r="I3" t="s">
        <v>3</v>
      </c>
      <c r="J3" s="9">
        <v>4.99</v>
      </c>
    </row>
    <row r="4" spans="1:12" x14ac:dyDescent="0.25">
      <c r="A4" t="s">
        <v>133</v>
      </c>
      <c r="B4" t="s">
        <v>135</v>
      </c>
      <c r="C4">
        <v>13.13</v>
      </c>
      <c r="D4">
        <v>11.5</v>
      </c>
      <c r="E4" s="14">
        <v>11.45</v>
      </c>
      <c r="F4" s="8">
        <f t="shared" ref="F4:F30" si="0">E4/SUM(E4:E32)</f>
        <v>1.9847804607464159E-2</v>
      </c>
      <c r="I4" t="s">
        <v>2</v>
      </c>
      <c r="J4" s="11">
        <v>64.599999999999994</v>
      </c>
    </row>
    <row r="5" spans="1:12" x14ac:dyDescent="0.25">
      <c r="A5" t="s">
        <v>133</v>
      </c>
      <c r="B5" t="s">
        <v>119</v>
      </c>
      <c r="C5">
        <v>4.55</v>
      </c>
      <c r="D5">
        <v>4.01</v>
      </c>
      <c r="E5" s="5">
        <v>3.96</v>
      </c>
      <c r="F5" s="8">
        <f t="shared" si="0"/>
        <v>7.0033955857385392E-3</v>
      </c>
      <c r="I5" t="s">
        <v>4</v>
      </c>
      <c r="J5" s="12">
        <v>6.31</v>
      </c>
    </row>
    <row r="6" spans="1:12" x14ac:dyDescent="0.25">
      <c r="A6" t="s">
        <v>133</v>
      </c>
      <c r="B6" t="s">
        <v>136</v>
      </c>
      <c r="C6">
        <v>12.7</v>
      </c>
      <c r="D6">
        <v>11.19</v>
      </c>
      <c r="E6" s="15">
        <v>11.05</v>
      </c>
      <c r="F6" s="8">
        <f t="shared" si="0"/>
        <v>1.9680131082140059E-2</v>
      </c>
      <c r="I6" t="s">
        <v>5</v>
      </c>
      <c r="J6" s="13">
        <v>20.059999999999999</v>
      </c>
    </row>
    <row r="7" spans="1:12" x14ac:dyDescent="0.25">
      <c r="A7" t="s">
        <v>133</v>
      </c>
      <c r="B7" t="s">
        <v>137</v>
      </c>
      <c r="C7">
        <v>12.7</v>
      </c>
      <c r="D7">
        <v>11.19</v>
      </c>
      <c r="E7" s="16">
        <v>11.05</v>
      </c>
      <c r="F7" s="8">
        <f t="shared" si="0"/>
        <v>2.0075213923659685E-2</v>
      </c>
      <c r="I7" t="s">
        <v>6</v>
      </c>
      <c r="J7" s="14">
        <v>11.45</v>
      </c>
    </row>
    <row r="8" spans="1:12" x14ac:dyDescent="0.25">
      <c r="A8" t="s">
        <v>133</v>
      </c>
      <c r="B8" t="s">
        <v>122</v>
      </c>
      <c r="C8">
        <v>2.17</v>
      </c>
      <c r="D8">
        <v>1.85</v>
      </c>
      <c r="E8" s="17">
        <v>2.1800000000000002</v>
      </c>
      <c r="F8" s="8">
        <f t="shared" si="0"/>
        <v>4.0416774815528944E-3</v>
      </c>
      <c r="I8" t="s">
        <v>7</v>
      </c>
      <c r="J8" s="5">
        <v>3.96</v>
      </c>
    </row>
    <row r="9" spans="1:12" x14ac:dyDescent="0.25">
      <c r="A9" t="s">
        <v>133</v>
      </c>
      <c r="B9" t="s">
        <v>123</v>
      </c>
      <c r="C9">
        <v>0.47</v>
      </c>
      <c r="D9">
        <v>0.4</v>
      </c>
      <c r="E9" s="18">
        <v>0.48</v>
      </c>
      <c r="F9" s="8">
        <f t="shared" si="0"/>
        <v>8.935219657483245E-4</v>
      </c>
      <c r="I9" t="s">
        <v>112</v>
      </c>
      <c r="J9" s="15">
        <v>11.05</v>
      </c>
    </row>
    <row r="10" spans="1:12" x14ac:dyDescent="0.25">
      <c r="A10" t="s">
        <v>133</v>
      </c>
      <c r="B10" t="s">
        <v>3</v>
      </c>
      <c r="C10">
        <v>2.61</v>
      </c>
      <c r="D10">
        <v>2.21</v>
      </c>
      <c r="E10" s="9">
        <v>4.99</v>
      </c>
      <c r="F10" s="8">
        <f t="shared" si="0"/>
        <v>9.2972126993590698E-3</v>
      </c>
      <c r="I10" t="s">
        <v>113</v>
      </c>
      <c r="J10" s="16">
        <v>11.05</v>
      </c>
    </row>
    <row r="11" spans="1:12" x14ac:dyDescent="0.25">
      <c r="A11" t="s">
        <v>133</v>
      </c>
      <c r="B11" t="s">
        <v>138</v>
      </c>
      <c r="C11">
        <v>0.62</v>
      </c>
      <c r="D11">
        <v>0.55000000000000004</v>
      </c>
      <c r="E11" s="10">
        <v>0.56000000000000005</v>
      </c>
      <c r="F11" s="8">
        <f t="shared" si="0"/>
        <v>1.0531660805295922E-3</v>
      </c>
      <c r="I11" t="s">
        <v>10</v>
      </c>
      <c r="J11" s="17">
        <v>2.1800000000000002</v>
      </c>
    </row>
    <row r="12" spans="1:12" x14ac:dyDescent="0.25">
      <c r="A12" t="s">
        <v>133</v>
      </c>
      <c r="B12" t="s">
        <v>2</v>
      </c>
      <c r="C12">
        <v>63.67</v>
      </c>
      <c r="D12">
        <v>62.52</v>
      </c>
      <c r="E12" s="11">
        <v>64.599999999999994</v>
      </c>
      <c r="F12" s="8">
        <f t="shared" si="0"/>
        <v>0.12161831428732794</v>
      </c>
      <c r="I12" t="s">
        <v>11</v>
      </c>
      <c r="J12" s="18">
        <v>0.48</v>
      </c>
    </row>
    <row r="13" spans="1:12" x14ac:dyDescent="0.25">
      <c r="A13" t="s">
        <v>133</v>
      </c>
      <c r="B13" t="s">
        <v>139</v>
      </c>
      <c r="C13">
        <v>9.5299999999999994</v>
      </c>
      <c r="D13">
        <v>7.94</v>
      </c>
      <c r="E13">
        <v>6.56</v>
      </c>
      <c r="F13" s="8">
        <f t="shared" si="0"/>
        <v>1.4060055297168696E-2</v>
      </c>
      <c r="I13" t="s">
        <v>114</v>
      </c>
      <c r="J13" s="10">
        <v>0.56000000000000005</v>
      </c>
    </row>
    <row r="14" spans="1:12" x14ac:dyDescent="0.25">
      <c r="A14" t="s">
        <v>133</v>
      </c>
      <c r="B14" t="s">
        <v>140</v>
      </c>
      <c r="C14">
        <v>25.84</v>
      </c>
      <c r="D14">
        <v>38.49</v>
      </c>
      <c r="E14">
        <v>43.01</v>
      </c>
      <c r="F14" s="8">
        <f t="shared" si="0"/>
        <v>9.3497967435490534E-2</v>
      </c>
      <c r="I14" t="s">
        <v>19</v>
      </c>
      <c r="J14">
        <v>226.49</v>
      </c>
    </row>
    <row r="15" spans="1:12" x14ac:dyDescent="0.25">
      <c r="A15" t="s">
        <v>133</v>
      </c>
      <c r="B15" t="s">
        <v>141</v>
      </c>
      <c r="C15">
        <v>20.82</v>
      </c>
      <c r="D15">
        <v>12.02</v>
      </c>
      <c r="E15">
        <v>5.03</v>
      </c>
      <c r="F15" s="8">
        <f t="shared" si="0"/>
        <v>1.2062350119904077E-2</v>
      </c>
      <c r="I15" t="s">
        <v>5</v>
      </c>
      <c r="J15">
        <v>0.43</v>
      </c>
    </row>
    <row r="16" spans="1:12" x14ac:dyDescent="0.25">
      <c r="A16" t="s">
        <v>133</v>
      </c>
      <c r="B16" t="s">
        <v>142</v>
      </c>
      <c r="C16">
        <v>26.34</v>
      </c>
      <c r="D16">
        <v>12.88</v>
      </c>
      <c r="E16">
        <v>5.39</v>
      </c>
      <c r="F16" s="8">
        <f t="shared" si="0"/>
        <v>1.3083476952205256E-2</v>
      </c>
      <c r="I16" t="s">
        <v>6</v>
      </c>
      <c r="J16">
        <v>11.42</v>
      </c>
    </row>
    <row r="17" spans="1:10" x14ac:dyDescent="0.25">
      <c r="A17" t="s">
        <v>133</v>
      </c>
      <c r="B17" t="s">
        <v>143</v>
      </c>
      <c r="C17" t="s">
        <v>144</v>
      </c>
      <c r="D17" t="s">
        <v>144</v>
      </c>
      <c r="E17" t="s">
        <v>144</v>
      </c>
      <c r="F17" s="8"/>
      <c r="I17" t="s">
        <v>11</v>
      </c>
      <c r="J17">
        <v>0.13</v>
      </c>
    </row>
    <row r="18" spans="1:10" x14ac:dyDescent="0.25">
      <c r="A18" t="s">
        <v>133</v>
      </c>
      <c r="B18" t="s">
        <v>145</v>
      </c>
      <c r="C18" t="s">
        <v>144</v>
      </c>
      <c r="D18" t="s">
        <v>144</v>
      </c>
      <c r="E18" t="s">
        <v>144</v>
      </c>
      <c r="F18" s="8"/>
      <c r="I18" t="s">
        <v>14</v>
      </c>
      <c r="J18">
        <v>0.11</v>
      </c>
    </row>
    <row r="19" spans="1:10" x14ac:dyDescent="0.25">
      <c r="A19" t="s">
        <v>133</v>
      </c>
      <c r="B19" t="s">
        <v>146</v>
      </c>
      <c r="C19">
        <v>42.9</v>
      </c>
      <c r="D19">
        <v>34.94</v>
      </c>
      <c r="E19">
        <v>29.82</v>
      </c>
      <c r="F19" s="8">
        <f t="shared" si="0"/>
        <v>7.3343499434305667E-2</v>
      </c>
      <c r="I19" t="s">
        <v>15</v>
      </c>
      <c r="J19">
        <v>1.1200000000000001</v>
      </c>
    </row>
    <row r="20" spans="1:10" x14ac:dyDescent="0.25">
      <c r="A20" t="s">
        <v>147</v>
      </c>
      <c r="B20" t="s">
        <v>148</v>
      </c>
      <c r="C20">
        <v>0.43</v>
      </c>
      <c r="D20">
        <v>0.43</v>
      </c>
      <c r="E20">
        <v>0.43</v>
      </c>
      <c r="F20" s="8">
        <f t="shared" si="0"/>
        <v>1.1413101178469052E-3</v>
      </c>
      <c r="I20" t="s">
        <v>20</v>
      </c>
      <c r="J20">
        <v>13.2</v>
      </c>
    </row>
    <row r="21" spans="1:10" x14ac:dyDescent="0.25">
      <c r="A21" t="s">
        <v>147</v>
      </c>
      <c r="B21" t="s">
        <v>149</v>
      </c>
      <c r="C21">
        <v>12.48</v>
      </c>
      <c r="D21">
        <v>11.32</v>
      </c>
      <c r="E21">
        <v>11.42</v>
      </c>
      <c r="F21" s="8">
        <f t="shared" si="0"/>
        <v>3.0345707225041849E-2</v>
      </c>
      <c r="I21" t="s">
        <v>5</v>
      </c>
      <c r="J21">
        <v>0.09</v>
      </c>
    </row>
    <row r="22" spans="1:10" x14ac:dyDescent="0.25">
      <c r="A22" t="s">
        <v>147</v>
      </c>
      <c r="B22" t="s">
        <v>123</v>
      </c>
      <c r="C22">
        <v>0.13</v>
      </c>
      <c r="D22">
        <v>0.13</v>
      </c>
      <c r="E22">
        <v>0.13</v>
      </c>
      <c r="F22" s="8">
        <f t="shared" si="0"/>
        <v>3.5625222657641615E-4</v>
      </c>
      <c r="I22" t="s">
        <v>6</v>
      </c>
      <c r="J22">
        <v>29.56</v>
      </c>
    </row>
    <row r="23" spans="1:10" x14ac:dyDescent="0.25">
      <c r="A23" t="s">
        <v>147</v>
      </c>
      <c r="B23" t="s">
        <v>150</v>
      </c>
      <c r="C23">
        <v>0.11</v>
      </c>
      <c r="D23">
        <v>0.11</v>
      </c>
      <c r="E23">
        <v>0.11</v>
      </c>
      <c r="F23" s="8">
        <f t="shared" si="0"/>
        <v>3.0155162015461375E-4</v>
      </c>
      <c r="I23" t="s">
        <v>17</v>
      </c>
      <c r="J23">
        <v>1.78</v>
      </c>
    </row>
    <row r="24" spans="1:10" x14ac:dyDescent="0.25">
      <c r="A24" t="s">
        <v>147</v>
      </c>
      <c r="B24" t="s">
        <v>151</v>
      </c>
      <c r="C24">
        <v>1.1200000000000001</v>
      </c>
      <c r="D24">
        <v>1.1200000000000001</v>
      </c>
      <c r="E24">
        <v>1.1200000000000001</v>
      </c>
      <c r="F24" s="8">
        <f t="shared" si="0"/>
        <v>3.0712699152658576E-3</v>
      </c>
      <c r="I24" t="s">
        <v>14</v>
      </c>
      <c r="J24">
        <v>0.94</v>
      </c>
    </row>
    <row r="25" spans="1:10" x14ac:dyDescent="0.25">
      <c r="A25" t="s">
        <v>152</v>
      </c>
      <c r="B25" t="s">
        <v>153</v>
      </c>
      <c r="C25">
        <v>0.09</v>
      </c>
      <c r="D25">
        <v>0.09</v>
      </c>
      <c r="E25">
        <v>0.09</v>
      </c>
      <c r="F25" s="8">
        <f t="shared" si="0"/>
        <v>2.4755879521386334E-4</v>
      </c>
      <c r="I25" t="s">
        <v>18</v>
      </c>
      <c r="J25">
        <v>8.4700000000000006</v>
      </c>
    </row>
    <row r="26" spans="1:10" x14ac:dyDescent="0.25">
      <c r="A26" t="s">
        <v>152</v>
      </c>
      <c r="B26" t="s">
        <v>154</v>
      </c>
      <c r="C26">
        <v>31.09</v>
      </c>
      <c r="D26">
        <v>29.52</v>
      </c>
      <c r="E26">
        <v>29.56</v>
      </c>
      <c r="F26" s="8">
        <f t="shared" si="0"/>
        <v>8.1329444780718643E-2</v>
      </c>
      <c r="I26" t="s">
        <v>15</v>
      </c>
      <c r="J26">
        <v>4.22</v>
      </c>
    </row>
    <row r="27" spans="1:10" x14ac:dyDescent="0.25">
      <c r="A27" t="s">
        <v>152</v>
      </c>
      <c r="B27" t="s">
        <v>17</v>
      </c>
      <c r="C27">
        <v>1.98</v>
      </c>
      <c r="D27">
        <v>1.76</v>
      </c>
      <c r="E27">
        <v>1.78</v>
      </c>
      <c r="F27" s="8">
        <f t="shared" si="0"/>
        <v>5.3309374064091052E-3</v>
      </c>
      <c r="I27" t="s">
        <v>21</v>
      </c>
      <c r="J27">
        <v>45.06</v>
      </c>
    </row>
    <row r="28" spans="1:10" x14ac:dyDescent="0.25">
      <c r="A28" t="s">
        <v>152</v>
      </c>
      <c r="B28" t="s">
        <v>155</v>
      </c>
      <c r="C28">
        <v>0.99</v>
      </c>
      <c r="D28">
        <v>0.94</v>
      </c>
      <c r="E28">
        <v>0.94</v>
      </c>
      <c r="F28" s="8">
        <f t="shared" si="0"/>
        <v>2.8303023003733588E-3</v>
      </c>
      <c r="I28" t="s">
        <v>22</v>
      </c>
      <c r="J28">
        <v>284.75</v>
      </c>
    </row>
    <row r="29" spans="1:10" x14ac:dyDescent="0.25">
      <c r="A29" t="s">
        <v>152</v>
      </c>
      <c r="B29" t="s">
        <v>18</v>
      </c>
      <c r="C29">
        <v>8.58</v>
      </c>
      <c r="D29">
        <v>8.65</v>
      </c>
      <c r="E29">
        <v>8.4700000000000006</v>
      </c>
      <c r="F29" s="8">
        <f t="shared" si="0"/>
        <v>2.5575215894679627E-2</v>
      </c>
    </row>
    <row r="30" spans="1:10" x14ac:dyDescent="0.25">
      <c r="A30" t="s">
        <v>152</v>
      </c>
      <c r="B30" t="s">
        <v>156</v>
      </c>
      <c r="C30">
        <v>4.43</v>
      </c>
      <c r="D30">
        <v>4.22</v>
      </c>
      <c r="E30">
        <v>4.22</v>
      </c>
      <c r="F30" s="8">
        <f t="shared" si="0"/>
        <v>1.3076756220755475E-2</v>
      </c>
    </row>
    <row r="31" spans="1:10" x14ac:dyDescent="0.25">
      <c r="A31" t="s">
        <v>157</v>
      </c>
      <c r="B31" t="s">
        <v>158</v>
      </c>
      <c r="C31">
        <v>214.8</v>
      </c>
      <c r="D31">
        <v>240.7</v>
      </c>
      <c r="E31">
        <v>247.9</v>
      </c>
      <c r="G31">
        <f>SUM(E2:E30)</f>
        <v>284.77</v>
      </c>
    </row>
    <row r="32" spans="1:10" x14ac:dyDescent="0.25">
      <c r="A32" t="s">
        <v>157</v>
      </c>
      <c r="B32" t="s">
        <v>159</v>
      </c>
      <c r="C32">
        <v>70.59</v>
      </c>
      <c r="D32">
        <v>70.599999999999994</v>
      </c>
      <c r="E32">
        <v>70.59</v>
      </c>
    </row>
    <row r="47" spans="7:7" x14ac:dyDescent="0.25">
      <c r="G47" t="e" vm="1">
        <v>#VALUE!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231F-4763-4342-A1F0-181F11C5DB81}">
  <dimension ref="A1:W210"/>
  <sheetViews>
    <sheetView workbookViewId="0">
      <selection activeCell="C10" sqref="C10"/>
    </sheetView>
  </sheetViews>
  <sheetFormatPr defaultRowHeight="15" x14ac:dyDescent="0.25"/>
  <cols>
    <col min="1" max="1" width="64.28515625" bestFit="1" customWidth="1"/>
    <col min="2" max="2" width="33.140625" bestFit="1" customWidth="1"/>
    <col min="3" max="3" width="23.85546875" bestFit="1" customWidth="1"/>
    <col min="4" max="4" width="42.7109375" bestFit="1" customWidth="1"/>
    <col min="5" max="5" width="43.28515625" bestFit="1" customWidth="1"/>
    <col min="6" max="6" width="40.42578125" bestFit="1" customWidth="1"/>
    <col min="7" max="7" width="23.85546875" bestFit="1" customWidth="1"/>
    <col min="8" max="8" width="34.7109375" customWidth="1"/>
    <col min="9" max="10" width="42.7109375" bestFit="1" customWidth="1"/>
    <col min="11" max="12" width="23.85546875" bestFit="1" customWidth="1"/>
    <col min="13" max="13" width="22.140625" bestFit="1" customWidth="1"/>
    <col min="14" max="14" width="32.28515625" bestFit="1" customWidth="1"/>
    <col min="15" max="15" width="24.42578125" bestFit="1" customWidth="1"/>
    <col min="16" max="16" width="29.28515625" bestFit="1" customWidth="1"/>
    <col min="17" max="17" width="21.85546875" bestFit="1" customWidth="1"/>
    <col min="18" max="18" width="27.5703125" bestFit="1" customWidth="1"/>
    <col min="19" max="19" width="24.28515625" bestFit="1" customWidth="1"/>
    <col min="20" max="20" width="18.42578125" bestFit="1" customWidth="1"/>
  </cols>
  <sheetData>
    <row r="1" spans="1:13" x14ac:dyDescent="0.25">
      <c r="A1" t="s">
        <v>160</v>
      </c>
    </row>
    <row r="2" spans="1:13" x14ac:dyDescent="0.25">
      <c r="B2" s="19"/>
      <c r="C2" s="19" t="s">
        <v>161</v>
      </c>
    </row>
    <row r="3" spans="1:13" x14ac:dyDescent="0.25">
      <c r="B3" s="19" t="s">
        <v>162</v>
      </c>
      <c r="C3" s="20">
        <v>86.635677599999994</v>
      </c>
    </row>
    <row r="4" spans="1:13" x14ac:dyDescent="0.25">
      <c r="B4" s="19" t="s">
        <v>163</v>
      </c>
      <c r="C4" s="19">
        <v>63.753</v>
      </c>
    </row>
    <row r="7" spans="1:13" x14ac:dyDescent="0.25">
      <c r="A7" t="s">
        <v>169</v>
      </c>
      <c r="F7" s="50" t="s">
        <v>170</v>
      </c>
      <c r="G7" s="50"/>
      <c r="H7" s="50"/>
      <c r="I7" s="50"/>
      <c r="J7" s="50"/>
      <c r="K7" s="50"/>
      <c r="L7" s="50"/>
      <c r="M7" s="50"/>
    </row>
    <row r="8" spans="1:13" x14ac:dyDescent="0.25">
      <c r="C8" s="50" t="s">
        <v>161</v>
      </c>
      <c r="D8" s="50"/>
      <c r="F8" s="50" t="s">
        <v>171</v>
      </c>
      <c r="G8" s="50"/>
      <c r="H8" s="50"/>
      <c r="I8" s="50"/>
      <c r="J8" s="50"/>
      <c r="K8" s="50"/>
      <c r="L8" s="50"/>
      <c r="M8" s="50"/>
    </row>
    <row r="9" spans="1:13" x14ac:dyDescent="0.25">
      <c r="B9" s="19"/>
      <c r="C9" s="19" t="s">
        <v>172</v>
      </c>
      <c r="D9" s="19" t="s">
        <v>173</v>
      </c>
      <c r="F9" s="19" t="s">
        <v>167</v>
      </c>
      <c r="G9" s="19" t="s">
        <v>168</v>
      </c>
      <c r="H9" s="19" t="s">
        <v>164</v>
      </c>
      <c r="I9" s="19" t="s">
        <v>131</v>
      </c>
      <c r="J9" s="19" t="s">
        <v>165</v>
      </c>
      <c r="K9" s="19" t="s">
        <v>132</v>
      </c>
      <c r="L9" s="19" t="s">
        <v>57</v>
      </c>
      <c r="M9" s="19" t="s">
        <v>166</v>
      </c>
    </row>
    <row r="10" spans="1:13" x14ac:dyDescent="0.25">
      <c r="B10" s="19" t="s">
        <v>174</v>
      </c>
      <c r="C10" s="20">
        <v>197.69</v>
      </c>
      <c r="D10" s="19">
        <v>89.671595754331847</v>
      </c>
      <c r="F10" s="19">
        <v>170.88</v>
      </c>
      <c r="G10" s="19">
        <v>185.81</v>
      </c>
      <c r="H10" s="19">
        <v>145.91999999999999</v>
      </c>
      <c r="I10" s="19">
        <v>177.31</v>
      </c>
      <c r="J10" s="19">
        <v>142.88999999999999</v>
      </c>
      <c r="K10" s="19">
        <v>186.98999999999998</v>
      </c>
      <c r="L10" s="20">
        <v>197.69</v>
      </c>
      <c r="M10" s="19">
        <v>192.04999999999998</v>
      </c>
    </row>
    <row r="12" spans="1:13" x14ac:dyDescent="0.25">
      <c r="A12" t="s">
        <v>305</v>
      </c>
      <c r="C12" s="19" t="s">
        <v>162</v>
      </c>
      <c r="D12" s="19" t="s">
        <v>163</v>
      </c>
    </row>
    <row r="13" spans="1:13" x14ac:dyDescent="0.25">
      <c r="C13" s="24">
        <v>3821.1841068973172</v>
      </c>
      <c r="D13" s="19">
        <v>3108.4663375982595</v>
      </c>
    </row>
    <row r="16" spans="1:13" x14ac:dyDescent="0.25">
      <c r="A16" t="s">
        <v>253</v>
      </c>
    </row>
    <row r="17" spans="1:23" x14ac:dyDescent="0.25">
      <c r="A17" t="s">
        <v>254</v>
      </c>
      <c r="C17" s="19" t="s">
        <v>162</v>
      </c>
      <c r="D17" s="19" t="s">
        <v>163</v>
      </c>
    </row>
    <row r="18" spans="1:23" x14ac:dyDescent="0.25">
      <c r="C18" s="20">
        <v>966.14403782163993</v>
      </c>
      <c r="D18" s="19">
        <v>710.96091759825993</v>
      </c>
      <c r="E18" t="s">
        <v>302</v>
      </c>
    </row>
    <row r="19" spans="1:23" x14ac:dyDescent="0.25">
      <c r="B19" t="s">
        <v>161</v>
      </c>
      <c r="C19" s="20">
        <f>C18/2.205</f>
        <v>438.16056137035821</v>
      </c>
      <c r="D19" s="19">
        <f>D18/2.205</f>
        <v>322.43125514660312</v>
      </c>
      <c r="E19" t="s">
        <v>266</v>
      </c>
    </row>
    <row r="22" spans="1:23" x14ac:dyDescent="0.25">
      <c r="A22" t="s">
        <v>196</v>
      </c>
      <c r="F22" t="s">
        <v>255</v>
      </c>
    </row>
    <row r="23" spans="1:23" x14ac:dyDescent="0.25">
      <c r="B23" t="s">
        <v>195</v>
      </c>
      <c r="F23" s="19"/>
      <c r="G23" s="19" t="s">
        <v>162</v>
      </c>
      <c r="H23" s="19" t="s">
        <v>163</v>
      </c>
      <c r="I23" s="20" t="s">
        <v>162</v>
      </c>
      <c r="K23" s="19" t="s">
        <v>302</v>
      </c>
      <c r="L23" s="19" t="s">
        <v>162</v>
      </c>
      <c r="M23" s="19" t="s">
        <v>163</v>
      </c>
    </row>
    <row r="24" spans="1:23" x14ac:dyDescent="0.25">
      <c r="B24" t="s">
        <v>57</v>
      </c>
      <c r="C24" t="s">
        <v>306</v>
      </c>
      <c r="F24" s="19" t="s">
        <v>256</v>
      </c>
      <c r="G24" s="19"/>
      <c r="H24" s="19"/>
      <c r="I24" s="20" t="s">
        <v>301</v>
      </c>
      <c r="K24" s="19" t="s">
        <v>265</v>
      </c>
      <c r="L24" s="20">
        <f>SUM(G25:G44)</f>
        <v>966.14403782164004</v>
      </c>
      <c r="M24" s="19">
        <f>SUM(H25:H44)</f>
        <v>710.96091759825981</v>
      </c>
    </row>
    <row r="25" spans="1:23" x14ac:dyDescent="0.25">
      <c r="A25" s="19" t="s">
        <v>175</v>
      </c>
      <c r="B25" s="19">
        <v>0.24839999999999998</v>
      </c>
      <c r="C25" s="19">
        <f>B25*$C$18*0.453592</f>
        <v>108.85762527065256</v>
      </c>
      <c r="F25" s="19" t="s">
        <v>175</v>
      </c>
      <c r="G25" s="19">
        <v>239.99017899489533</v>
      </c>
      <c r="H25" s="19">
        <v>176.60269193140775</v>
      </c>
      <c r="I25" s="19">
        <f>G25*0.453592</f>
        <v>108.85762527065256</v>
      </c>
    </row>
    <row r="26" spans="1:23" x14ac:dyDescent="0.25">
      <c r="A26" s="19" t="s">
        <v>176</v>
      </c>
      <c r="B26" s="19">
        <v>0.17349999999999999</v>
      </c>
      <c r="C26" s="19">
        <f t="shared" ref="C26:C44" si="0">B26*$C$18*0.453592</f>
        <v>76.033808311023435</v>
      </c>
      <c r="F26" s="19" t="s">
        <v>176</v>
      </c>
      <c r="G26" s="19">
        <v>167.62599056205451</v>
      </c>
      <c r="H26" s="19">
        <v>123.35171920329809</v>
      </c>
      <c r="I26" s="19">
        <f t="shared" ref="I26:I44" si="1">G26*0.453592</f>
        <v>76.033808311023435</v>
      </c>
    </row>
    <row r="27" spans="1:23" x14ac:dyDescent="0.25">
      <c r="A27" s="19" t="s">
        <v>177</v>
      </c>
      <c r="B27" s="19">
        <v>0</v>
      </c>
      <c r="C27" s="19">
        <f t="shared" si="0"/>
        <v>0</v>
      </c>
      <c r="F27" s="19" t="s">
        <v>177</v>
      </c>
      <c r="G27" s="19">
        <v>0</v>
      </c>
      <c r="H27" s="19">
        <v>0</v>
      </c>
      <c r="I27" s="19">
        <f t="shared" si="1"/>
        <v>0</v>
      </c>
      <c r="U27" s="19"/>
      <c r="V27" s="19"/>
      <c r="W27" s="19"/>
    </row>
    <row r="28" spans="1:23" ht="30" x14ac:dyDescent="0.25">
      <c r="A28" s="19" t="s">
        <v>178</v>
      </c>
      <c r="B28" s="19">
        <v>8.6999999999999994E-3</v>
      </c>
      <c r="C28" s="19">
        <f t="shared" si="0"/>
        <v>3.8126462957112612</v>
      </c>
      <c r="F28" s="19" t="s">
        <v>178</v>
      </c>
      <c r="G28" s="19">
        <v>8.4054531290482668</v>
      </c>
      <c r="H28" s="19">
        <v>6.1853599831048607</v>
      </c>
      <c r="I28" s="19">
        <f t="shared" si="1"/>
        <v>3.8126462957112612</v>
      </c>
      <c r="S28" t="s">
        <v>266</v>
      </c>
      <c r="U28" s="25" t="s">
        <v>293</v>
      </c>
      <c r="V28" s="25" t="s">
        <v>294</v>
      </c>
      <c r="W28" s="25" t="s">
        <v>295</v>
      </c>
    </row>
    <row r="29" spans="1:23" x14ac:dyDescent="0.25">
      <c r="A29" s="19" t="s">
        <v>179</v>
      </c>
      <c r="B29" s="19">
        <v>7.6899999999999996E-2</v>
      </c>
      <c r="C29" s="19">
        <f t="shared" si="0"/>
        <v>33.700287372436321</v>
      </c>
      <c r="F29" s="19" t="s">
        <v>179</v>
      </c>
      <c r="G29" s="19">
        <v>74.296476508484105</v>
      </c>
      <c r="H29" s="19">
        <v>54.672894563306187</v>
      </c>
      <c r="I29" s="19">
        <f t="shared" si="1"/>
        <v>33.700287372436321</v>
      </c>
      <c r="R29" s="23" t="s">
        <v>285</v>
      </c>
      <c r="S29" s="23">
        <f>I30</f>
        <v>53.070283495475145</v>
      </c>
      <c r="U29" s="26" t="s">
        <v>296</v>
      </c>
      <c r="V29" s="26">
        <f>0.8*58.693/V35</f>
        <v>0.50840935298926426</v>
      </c>
      <c r="W29" s="27">
        <v>0.50800000000000001</v>
      </c>
    </row>
    <row r="30" spans="1:23" x14ac:dyDescent="0.25">
      <c r="A30" s="19" t="s">
        <v>180</v>
      </c>
      <c r="B30" s="19">
        <v>0.1211</v>
      </c>
      <c r="C30" s="19">
        <f t="shared" si="0"/>
        <v>53.070283495475145</v>
      </c>
      <c r="F30" s="19" t="s">
        <v>257</v>
      </c>
      <c r="G30" s="19">
        <v>117.00004298020059</v>
      </c>
      <c r="H30" s="19">
        <v>86.097367121149276</v>
      </c>
      <c r="I30" s="19">
        <f t="shared" si="1"/>
        <v>53.070283495475145</v>
      </c>
      <c r="R30" s="23" t="s">
        <v>286</v>
      </c>
      <c r="S30" s="23">
        <f>1/$B$116*$I$25*V30</f>
        <v>7.3163507414797397</v>
      </c>
      <c r="U30" s="26" t="s">
        <v>297</v>
      </c>
      <c r="V30" s="26">
        <f>0.1*58.933/V35</f>
        <v>6.3811034535030398E-2</v>
      </c>
      <c r="W30" s="27">
        <v>6.4000000000000001E-2</v>
      </c>
    </row>
    <row r="31" spans="1:23" x14ac:dyDescent="0.25">
      <c r="A31" s="19" t="s">
        <v>181</v>
      </c>
      <c r="B31" s="19">
        <v>0</v>
      </c>
      <c r="C31" s="19">
        <f t="shared" si="0"/>
        <v>0</v>
      </c>
      <c r="F31" s="19" t="s">
        <v>181</v>
      </c>
      <c r="G31" s="19">
        <v>0</v>
      </c>
      <c r="H31" s="19">
        <v>0</v>
      </c>
      <c r="I31" s="19">
        <f t="shared" si="1"/>
        <v>0</v>
      </c>
      <c r="R31" s="23" t="s">
        <v>287</v>
      </c>
      <c r="S31" s="23">
        <f>I29</f>
        <v>33.700287372436321</v>
      </c>
      <c r="U31" s="26" t="s">
        <v>298</v>
      </c>
      <c r="V31" s="26">
        <f>0.1*54.938/V35</f>
        <v>5.9485358208227986E-2</v>
      </c>
      <c r="W31" s="27">
        <v>0.06</v>
      </c>
    </row>
    <row r="32" spans="1:23" ht="15.75" x14ac:dyDescent="0.3">
      <c r="A32" s="19" t="s">
        <v>182</v>
      </c>
      <c r="B32" s="19">
        <v>1.0799999999999999E-2</v>
      </c>
      <c r="C32" s="19">
        <f t="shared" si="0"/>
        <v>4.7329402291588076</v>
      </c>
      <c r="F32" s="19" t="s">
        <v>258</v>
      </c>
      <c r="G32" s="19">
        <v>10.434355608473711</v>
      </c>
      <c r="H32" s="19">
        <v>7.6783779100612062</v>
      </c>
      <c r="I32" s="19">
        <f t="shared" si="1"/>
        <v>4.7329402291588076</v>
      </c>
      <c r="R32" s="23" t="s">
        <v>288</v>
      </c>
      <c r="S32" s="23">
        <f>G26</f>
        <v>167.62599056205451</v>
      </c>
      <c r="U32" s="26" t="s">
        <v>299</v>
      </c>
      <c r="V32" s="26">
        <f>2*15.999/V35</f>
        <v>0.34646555971219906</v>
      </c>
      <c r="W32" s="27">
        <v>0.34699999999999998</v>
      </c>
    </row>
    <row r="33" spans="1:23" x14ac:dyDescent="0.25">
      <c r="A33" s="19" t="s">
        <v>183</v>
      </c>
      <c r="B33" s="19">
        <v>0.03</v>
      </c>
      <c r="C33" s="19">
        <f t="shared" si="0"/>
        <v>13.147056192107797</v>
      </c>
      <c r="F33" s="19" t="s">
        <v>183</v>
      </c>
      <c r="G33" s="19">
        <v>28.984321134649196</v>
      </c>
      <c r="H33" s="19">
        <v>21.328827527947798</v>
      </c>
      <c r="I33" s="19">
        <f t="shared" si="1"/>
        <v>13.147056192107797</v>
      </c>
      <c r="R33" s="23" t="s">
        <v>289</v>
      </c>
      <c r="S33" s="23">
        <f>B120*V38</f>
        <v>7.1350131271590969E-2</v>
      </c>
      <c r="U33" s="26" t="s">
        <v>300</v>
      </c>
      <c r="V33" s="26">
        <f>2*1.008/V35</f>
        <v>2.1828694555278243E-2</v>
      </c>
      <c r="W33" s="27">
        <v>2.1999999999999999E-2</v>
      </c>
    </row>
    <row r="34" spans="1:23" x14ac:dyDescent="0.25">
      <c r="A34" s="19" t="s">
        <v>184</v>
      </c>
      <c r="B34" s="19">
        <v>0.03</v>
      </c>
      <c r="C34" s="19">
        <f t="shared" si="0"/>
        <v>13.147056192107797</v>
      </c>
      <c r="F34" s="19" t="s">
        <v>184</v>
      </c>
      <c r="G34" s="19">
        <v>28.984321134649196</v>
      </c>
      <c r="H34" s="19">
        <v>21.328827527947798</v>
      </c>
      <c r="I34" s="19">
        <f t="shared" si="1"/>
        <v>13.147056192107797</v>
      </c>
      <c r="R34" s="23" t="s">
        <v>290</v>
      </c>
      <c r="S34" s="23">
        <f>$B$116*$I$25*V31</f>
        <v>6.1479320894933789</v>
      </c>
    </row>
    <row r="35" spans="1:23" ht="45" x14ac:dyDescent="0.25">
      <c r="A35" s="19" t="s">
        <v>185</v>
      </c>
      <c r="B35" s="19">
        <v>8.0000000000000004E-4</v>
      </c>
      <c r="C35" s="19">
        <f t="shared" si="0"/>
        <v>0.35058816512287466</v>
      </c>
      <c r="F35" s="19" t="s">
        <v>185</v>
      </c>
      <c r="G35" s="19">
        <v>0.77291523025731201</v>
      </c>
      <c r="H35" s="19">
        <v>0.56876873407860795</v>
      </c>
      <c r="I35" s="19">
        <f t="shared" si="1"/>
        <v>0.35058816512287466</v>
      </c>
      <c r="R35" s="23" t="s">
        <v>291</v>
      </c>
      <c r="S35" s="23">
        <f>$B$116*$I$25*V29</f>
        <v>52.545134970859493</v>
      </c>
      <c r="U35" s="22" t="s">
        <v>307</v>
      </c>
      <c r="V35">
        <f xml:space="preserve"> (0.8*58.693)+(0.1*58.933)+(0.1*54.938)+(2*15.999)+(2*1.008)</f>
        <v>92.355500000000006</v>
      </c>
    </row>
    <row r="36" spans="1:23" x14ac:dyDescent="0.25">
      <c r="A36" s="19" t="s">
        <v>186</v>
      </c>
      <c r="B36" s="19">
        <v>6.2000000000000006E-3</v>
      </c>
      <c r="C36" s="19">
        <f t="shared" si="0"/>
        <v>2.7170582797022789</v>
      </c>
      <c r="F36" s="19" t="s">
        <v>186</v>
      </c>
      <c r="G36" s="19">
        <v>5.9900930344941683</v>
      </c>
      <c r="H36" s="19">
        <v>4.407957689109212</v>
      </c>
      <c r="I36" s="19">
        <f t="shared" si="1"/>
        <v>2.7170582797022789</v>
      </c>
      <c r="R36" s="23" t="s">
        <v>292</v>
      </c>
      <c r="S36" s="23">
        <f>I39+I40</f>
        <v>99.786156498098194</v>
      </c>
    </row>
    <row r="37" spans="1:23" ht="30" x14ac:dyDescent="0.25">
      <c r="A37" s="19" t="s">
        <v>187</v>
      </c>
      <c r="B37" s="19">
        <v>9.2999999999999992E-3</v>
      </c>
      <c r="C37" s="19">
        <f t="shared" si="0"/>
        <v>4.0755874195534174</v>
      </c>
      <c r="F37" s="19" t="s">
        <v>187</v>
      </c>
      <c r="G37" s="19">
        <v>8.9851395517412502</v>
      </c>
      <c r="H37" s="19">
        <v>6.6119365336638172</v>
      </c>
      <c r="I37" s="19">
        <f t="shared" si="1"/>
        <v>4.0755874195534174</v>
      </c>
      <c r="U37" s="25" t="s">
        <v>293</v>
      </c>
      <c r="V37" s="25" t="s">
        <v>294</v>
      </c>
      <c r="W37" s="25" t="s">
        <v>295</v>
      </c>
    </row>
    <row r="38" spans="1:23" x14ac:dyDescent="0.25">
      <c r="A38" s="19" t="s">
        <v>188</v>
      </c>
      <c r="B38" s="19">
        <v>1.7000000000000001E-3</v>
      </c>
      <c r="C38" s="19">
        <f t="shared" si="0"/>
        <v>0.74499985088610865</v>
      </c>
      <c r="F38" s="19" t="s">
        <v>188</v>
      </c>
      <c r="G38" s="19">
        <v>1.6424448642967879</v>
      </c>
      <c r="H38" s="19">
        <v>1.2086335599170419</v>
      </c>
      <c r="I38" s="19">
        <f t="shared" si="1"/>
        <v>0.74499985088610865</v>
      </c>
      <c r="J38">
        <f>SUM(I25:I38)</f>
        <v>314.38993707393786</v>
      </c>
      <c r="U38" s="26" t="s">
        <v>303</v>
      </c>
      <c r="V38" s="26">
        <f>6.94 / V43</f>
        <v>0.28980665636614195</v>
      </c>
      <c r="W38" s="27">
        <v>0.28899999999999998</v>
      </c>
    </row>
    <row r="39" spans="1:23" x14ac:dyDescent="0.25">
      <c r="A39" s="19" t="s">
        <v>189</v>
      </c>
      <c r="B39" s="19">
        <v>0.16239999999999999</v>
      </c>
      <c r="C39" s="19">
        <f t="shared" si="0"/>
        <v>71.169397519943544</v>
      </c>
      <c r="F39" s="19" t="s">
        <v>189</v>
      </c>
      <c r="G39" s="19">
        <v>156.90179174223431</v>
      </c>
      <c r="H39" s="19">
        <v>115.46005301795741</v>
      </c>
      <c r="I39" s="19">
        <f t="shared" si="1"/>
        <v>71.169397519943544</v>
      </c>
      <c r="U39" s="26" t="s">
        <v>299</v>
      </c>
      <c r="V39" s="26">
        <f>15.999/V43</f>
        <v>0.66810038835762309</v>
      </c>
      <c r="W39" s="27">
        <v>0.66800000000000004</v>
      </c>
    </row>
    <row r="40" spans="1:23" x14ac:dyDescent="0.25">
      <c r="A40" s="19" t="s">
        <v>190</v>
      </c>
      <c r="B40" s="19">
        <v>6.5299999999999997E-2</v>
      </c>
      <c r="C40" s="19">
        <f t="shared" si="0"/>
        <v>28.616758978154643</v>
      </c>
      <c r="F40" s="19" t="s">
        <v>190</v>
      </c>
      <c r="G40" s="19">
        <v>63.089205669753085</v>
      </c>
      <c r="H40" s="19">
        <v>46.425747919166369</v>
      </c>
      <c r="I40" s="19">
        <f t="shared" si="1"/>
        <v>28.616758978154643</v>
      </c>
      <c r="U40" s="26" t="s">
        <v>300</v>
      </c>
      <c r="V40" s="26">
        <f>1.008 / V43</f>
        <v>4.2092955276235022E-2</v>
      </c>
      <c r="W40" s="27">
        <v>4.2000000000000003E-2</v>
      </c>
    </row>
    <row r="41" spans="1:23" x14ac:dyDescent="0.25">
      <c r="A41" s="19" t="s">
        <v>191</v>
      </c>
      <c r="B41" s="19">
        <v>3.0000000000000003E-4</v>
      </c>
      <c r="C41" s="19">
        <f t="shared" si="0"/>
        <v>0.13147056192107801</v>
      </c>
      <c r="F41" s="19" t="s">
        <v>259</v>
      </c>
      <c r="G41" s="19">
        <v>0.28984321134649199</v>
      </c>
      <c r="H41" s="19">
        <v>0.213288275279478</v>
      </c>
      <c r="I41" s="19">
        <f t="shared" si="1"/>
        <v>0.13147056192107801</v>
      </c>
    </row>
    <row r="42" spans="1:23" x14ac:dyDescent="0.25">
      <c r="A42" s="19" t="s">
        <v>192</v>
      </c>
      <c r="B42" s="19">
        <v>3.6999999999999997E-3</v>
      </c>
      <c r="C42" s="19">
        <f t="shared" si="0"/>
        <v>1.6214702636932952</v>
      </c>
      <c r="F42" s="19" t="s">
        <v>192</v>
      </c>
      <c r="G42" s="19">
        <v>3.5747329399400676</v>
      </c>
      <c r="H42" s="19">
        <v>2.6305553951135616</v>
      </c>
      <c r="I42" s="19">
        <f t="shared" si="1"/>
        <v>1.6214702636932952</v>
      </c>
    </row>
    <row r="43" spans="1:23" ht="30" x14ac:dyDescent="0.25">
      <c r="A43" s="19" t="s">
        <v>193</v>
      </c>
      <c r="B43" s="19">
        <v>4.1400000000000006E-2</v>
      </c>
      <c r="C43" s="19">
        <f t="shared" si="0"/>
        <v>18.142937545108765</v>
      </c>
      <c r="F43" s="19" t="s">
        <v>193</v>
      </c>
      <c r="G43" s="19">
        <v>39.998363165815896</v>
      </c>
      <c r="H43" s="19">
        <v>29.433781988567965</v>
      </c>
      <c r="I43" s="19">
        <f t="shared" si="1"/>
        <v>18.142937545108765</v>
      </c>
      <c r="U43" s="22" t="s">
        <v>304</v>
      </c>
      <c r="V43">
        <f>6.94+15.999+1.008</f>
        <v>23.946999999999999</v>
      </c>
    </row>
    <row r="44" spans="1:23" x14ac:dyDescent="0.25">
      <c r="A44" s="19" t="s">
        <v>194</v>
      </c>
      <c r="B44" s="19">
        <v>9.4999999999999529E-3</v>
      </c>
      <c r="C44" s="19">
        <f t="shared" si="0"/>
        <v>4.1632344608341159</v>
      </c>
      <c r="F44" s="19" t="s">
        <v>194</v>
      </c>
      <c r="G44" s="19">
        <v>9.1783683593055336</v>
      </c>
      <c r="H44" s="19">
        <v>6.7541287171834359</v>
      </c>
      <c r="I44" s="19">
        <f t="shared" si="1"/>
        <v>4.1632344608341159</v>
      </c>
    </row>
    <row r="45" spans="1:23" x14ac:dyDescent="0.25">
      <c r="C45" s="4">
        <f>SUM(C25:C44)</f>
        <v>438.23520640359334</v>
      </c>
      <c r="D45" t="s">
        <v>266</v>
      </c>
    </row>
    <row r="46" spans="1:23" x14ac:dyDescent="0.25">
      <c r="A46" t="s">
        <v>197</v>
      </c>
      <c r="F46" s="19" t="s">
        <v>260</v>
      </c>
      <c r="G46" s="19"/>
      <c r="H46" s="19"/>
    </row>
    <row r="47" spans="1:23" x14ac:dyDescent="0.25">
      <c r="B47" t="s">
        <v>57</v>
      </c>
      <c r="F47" s="19" t="s">
        <v>233</v>
      </c>
      <c r="G47" s="19">
        <v>75.502262089097627</v>
      </c>
      <c r="H47" s="19">
        <v>55.560201620287685</v>
      </c>
      <c r="J47" s="19" t="s">
        <v>59</v>
      </c>
      <c r="K47" s="19">
        <f>E113</f>
        <v>307.82038888201043</v>
      </c>
      <c r="L47" s="19" t="s">
        <v>347</v>
      </c>
      <c r="M47" s="19">
        <f>K47*1/2000*G25</f>
        <v>36.936935113035986</v>
      </c>
    </row>
    <row r="48" spans="1:23" x14ac:dyDescent="0.25">
      <c r="A48" t="s">
        <v>198</v>
      </c>
      <c r="B48">
        <v>172.41</v>
      </c>
      <c r="F48" s="19" t="s">
        <v>234</v>
      </c>
      <c r="G48" s="19">
        <v>67.318302315334094</v>
      </c>
      <c r="H48" s="19">
        <v>49.537832985212262</v>
      </c>
      <c r="J48" s="19" t="s">
        <v>176</v>
      </c>
      <c r="K48" s="19">
        <v>4.24037360244129E-2</v>
      </c>
      <c r="L48" s="19" t="s">
        <v>348</v>
      </c>
      <c r="M48" s="19">
        <f t="shared" ref="M48:M66" si="2">K48*G26</f>
        <v>7.1079682546240877</v>
      </c>
    </row>
    <row r="49" spans="1:13" x14ac:dyDescent="0.25">
      <c r="A49" t="s">
        <v>199</v>
      </c>
      <c r="B49">
        <v>180.66</v>
      </c>
      <c r="F49" s="19" t="s">
        <v>235</v>
      </c>
      <c r="G49" s="19">
        <v>15.430005248041018</v>
      </c>
      <c r="H49" s="19">
        <v>11.354549901718077</v>
      </c>
      <c r="J49" s="19" t="s">
        <v>177</v>
      </c>
      <c r="K49" s="19">
        <v>0.31738756757000314</v>
      </c>
      <c r="L49" s="19" t="s">
        <v>348</v>
      </c>
      <c r="M49" s="19">
        <f t="shared" si="2"/>
        <v>0</v>
      </c>
    </row>
    <row r="50" spans="1:13" x14ac:dyDescent="0.25">
      <c r="A50" t="s">
        <v>200</v>
      </c>
      <c r="B50" s="4">
        <v>197.69</v>
      </c>
      <c r="F50" s="19" t="s">
        <v>236</v>
      </c>
      <c r="G50" s="19">
        <v>40.713452690197606</v>
      </c>
      <c r="H50" s="19">
        <v>29.959998250861126</v>
      </c>
      <c r="J50" s="19" t="s">
        <v>178</v>
      </c>
      <c r="K50" s="19">
        <v>1.5024859212790093E-2</v>
      </c>
      <c r="L50" s="19" t="s">
        <v>348</v>
      </c>
      <c r="M50" s="19">
        <f t="shared" si="2"/>
        <v>0.12629074988365616</v>
      </c>
    </row>
    <row r="51" spans="1:13" x14ac:dyDescent="0.25">
      <c r="A51" t="s">
        <v>201</v>
      </c>
      <c r="B51">
        <v>205.78</v>
      </c>
      <c r="F51" s="19" t="s">
        <v>237</v>
      </c>
      <c r="G51" s="19">
        <v>11.17484437709547</v>
      </c>
      <c r="H51" s="19">
        <v>8.223284832633059</v>
      </c>
      <c r="J51" s="19" t="s">
        <v>179</v>
      </c>
      <c r="K51" s="19">
        <v>2.529241569205385E-2</v>
      </c>
      <c r="L51" s="19" t="s">
        <v>348</v>
      </c>
      <c r="M51" s="19">
        <f t="shared" si="2"/>
        <v>1.8791373683074937</v>
      </c>
    </row>
    <row r="52" spans="1:13" x14ac:dyDescent="0.25">
      <c r="F52" s="19" t="s">
        <v>238</v>
      </c>
      <c r="G52" s="19">
        <v>7188.6833947295509</v>
      </c>
      <c r="H52" s="19">
        <v>5289.9699657245264</v>
      </c>
      <c r="J52" s="19" t="s">
        <v>257</v>
      </c>
      <c r="K52" s="19">
        <v>5.0551003579610308E-2</v>
      </c>
      <c r="L52" s="19" t="s">
        <v>348</v>
      </c>
      <c r="M52" s="19">
        <f t="shared" si="2"/>
        <v>5.9144695915066796</v>
      </c>
    </row>
    <row r="53" spans="1:13" x14ac:dyDescent="0.25">
      <c r="J53" s="19" t="s">
        <v>181</v>
      </c>
      <c r="K53" s="19">
        <v>2.0701355970048865E-2</v>
      </c>
      <c r="L53" s="19" t="s">
        <v>348</v>
      </c>
      <c r="M53" s="19">
        <f t="shared" si="2"/>
        <v>0</v>
      </c>
    </row>
    <row r="54" spans="1:13" ht="15.75" x14ac:dyDescent="0.3">
      <c r="F54" s="19" t="s">
        <v>261</v>
      </c>
      <c r="G54" s="19"/>
      <c r="H54" s="19"/>
      <c r="J54" s="19" t="s">
        <v>258</v>
      </c>
      <c r="K54" s="19">
        <v>7.3180321672021126E-2</v>
      </c>
      <c r="L54" s="19" t="s">
        <v>348</v>
      </c>
      <c r="M54" s="19">
        <f t="shared" si="2"/>
        <v>0.76358949986836389</v>
      </c>
    </row>
    <row r="55" spans="1:13" x14ac:dyDescent="0.25">
      <c r="F55" s="19" t="s">
        <v>240</v>
      </c>
      <c r="G55" s="19">
        <v>1459.7794314520715</v>
      </c>
      <c r="H55" s="19">
        <v>1074.2146962022944</v>
      </c>
      <c r="J55" s="19" t="s">
        <v>183</v>
      </c>
      <c r="K55" s="19">
        <v>4.2926784482648058E-3</v>
      </c>
      <c r="L55" s="19" t="s">
        <v>348</v>
      </c>
      <c r="M55" s="19">
        <f t="shared" si="2"/>
        <v>0.12442037067229472</v>
      </c>
    </row>
    <row r="56" spans="1:13" x14ac:dyDescent="0.25">
      <c r="F56" s="19" t="s">
        <v>241</v>
      </c>
      <c r="G56" s="19">
        <v>8620.9470721829566</v>
      </c>
      <c r="H56" s="19">
        <v>6343.9365157441816</v>
      </c>
      <c r="J56" s="19" t="s">
        <v>184</v>
      </c>
      <c r="K56" s="19">
        <v>1.5778523924572917E-2</v>
      </c>
      <c r="L56" s="19" t="s">
        <v>348</v>
      </c>
      <c r="M56" s="19">
        <f t="shared" si="2"/>
        <v>0.45732980446056681</v>
      </c>
    </row>
    <row r="57" spans="1:13" x14ac:dyDescent="0.25">
      <c r="F57" s="19" t="s">
        <v>242</v>
      </c>
      <c r="G57" s="19">
        <v>7366.5993462646129</v>
      </c>
      <c r="H57" s="19">
        <v>5420.8938064842687</v>
      </c>
      <c r="J57" s="19" t="s">
        <v>185</v>
      </c>
      <c r="K57" s="19">
        <v>3.1975325941955714E-2</v>
      </c>
      <c r="L57" s="19" t="s">
        <v>348</v>
      </c>
      <c r="M57" s="19">
        <f t="shared" si="2"/>
        <v>2.4714216412979304E-2</v>
      </c>
    </row>
    <row r="58" spans="1:13" x14ac:dyDescent="0.25">
      <c r="F58" s="19" t="s">
        <v>243</v>
      </c>
      <c r="G58" s="19">
        <v>1273.3713272144762</v>
      </c>
      <c r="H58" s="19">
        <v>937.0416954400838</v>
      </c>
      <c r="J58" s="19" t="s">
        <v>186</v>
      </c>
      <c r="K58" s="19">
        <v>3.289092681365955E-2</v>
      </c>
      <c r="L58" s="19" t="s">
        <v>348</v>
      </c>
      <c r="M58" s="19">
        <f t="shared" si="2"/>
        <v>0.19701971160455956</v>
      </c>
    </row>
    <row r="59" spans="1:13" x14ac:dyDescent="0.25">
      <c r="F59" s="19" t="s">
        <v>244</v>
      </c>
      <c r="G59" s="19">
        <v>661.21224767448189</v>
      </c>
      <c r="H59" s="19">
        <v>486.56933948873797</v>
      </c>
      <c r="J59" s="19" t="s">
        <v>187</v>
      </c>
      <c r="K59" s="19">
        <v>3.6829339757375262E-2</v>
      </c>
      <c r="L59" s="19" t="s">
        <v>348</v>
      </c>
      <c r="M59" s="19">
        <f t="shared" si="2"/>
        <v>0.33091675731850895</v>
      </c>
    </row>
    <row r="60" spans="1:13" x14ac:dyDescent="0.25">
      <c r="F60" s="19" t="s">
        <v>245</v>
      </c>
      <c r="G60" s="19">
        <v>41119.323537030825</v>
      </c>
      <c r="H60" s="19">
        <v>30258.668323225844</v>
      </c>
      <c r="J60" s="19" t="s">
        <v>188</v>
      </c>
      <c r="K60" s="19">
        <v>3.1769896472854005E-2</v>
      </c>
      <c r="L60" s="19" t="s">
        <v>348</v>
      </c>
      <c r="M60" s="19">
        <f t="shared" si="2"/>
        <v>5.21803033010797E-2</v>
      </c>
    </row>
    <row r="61" spans="1:13" x14ac:dyDescent="0.25">
      <c r="F61" s="19" t="s">
        <v>246</v>
      </c>
      <c r="G61" s="19">
        <v>48.467144191094377</v>
      </c>
      <c r="H61" s="19">
        <v>35.665743365927568</v>
      </c>
      <c r="J61" s="19" t="s">
        <v>189</v>
      </c>
      <c r="K61" s="19">
        <v>1.1983263369553422E-2</v>
      </c>
      <c r="L61" s="19" t="s">
        <v>348</v>
      </c>
      <c r="M61" s="19">
        <f t="shared" si="2"/>
        <v>1.880195493602016</v>
      </c>
    </row>
    <row r="62" spans="1:13" x14ac:dyDescent="0.25">
      <c r="F62" s="19" t="s">
        <v>247</v>
      </c>
      <c r="G62" s="19">
        <v>118.06749671733571</v>
      </c>
      <c r="H62" s="19">
        <v>86.882879279521035</v>
      </c>
      <c r="J62" s="19" t="s">
        <v>190</v>
      </c>
      <c r="K62" s="19">
        <v>5.7242512774149535E-3</v>
      </c>
      <c r="L62" s="19" t="s">
        <v>348</v>
      </c>
      <c r="M62" s="19">
        <f t="shared" si="2"/>
        <v>0.36113846614617884</v>
      </c>
    </row>
    <row r="63" spans="1:13" x14ac:dyDescent="0.25">
      <c r="F63" s="19" t="s">
        <v>248</v>
      </c>
      <c r="G63" s="19">
        <v>22621.482137623178</v>
      </c>
      <c r="H63" s="19">
        <v>16646.575529523998</v>
      </c>
      <c r="J63" s="19" t="s">
        <v>259</v>
      </c>
      <c r="K63" s="19">
        <v>2.3239264795837784E-2</v>
      </c>
      <c r="L63" s="19" t="s">
        <v>348</v>
      </c>
      <c r="M63" s="19">
        <f t="shared" si="2"/>
        <v>6.7357431377571015E-3</v>
      </c>
    </row>
    <row r="64" spans="1:13" x14ac:dyDescent="0.25">
      <c r="F64" s="19" t="s">
        <v>249</v>
      </c>
      <c r="G64" s="19">
        <v>149.59378338780473</v>
      </c>
      <c r="H64" s="19">
        <v>110.08227483780558</v>
      </c>
      <c r="J64" s="19" t="s">
        <v>192</v>
      </c>
      <c r="K64" s="19">
        <v>1.1149298140806367E-2</v>
      </c>
      <c r="L64" s="19" t="s">
        <v>348</v>
      </c>
      <c r="M64" s="19">
        <f t="shared" si="2"/>
        <v>3.9855763321153072E-2</v>
      </c>
    </row>
    <row r="65" spans="1:21" x14ac:dyDescent="0.25">
      <c r="F65" s="19" t="s">
        <v>250</v>
      </c>
      <c r="G65" s="19">
        <v>4627491.8081890196</v>
      </c>
      <c r="H65" s="19">
        <v>3405253.9718056591</v>
      </c>
      <c r="J65" s="19" t="s">
        <v>193</v>
      </c>
      <c r="K65" s="19">
        <v>9.7419452774303358E-3</v>
      </c>
      <c r="L65" s="19" t="s">
        <v>348</v>
      </c>
      <c r="M65" s="19">
        <f t="shared" si="2"/>
        <v>0.38966186514816364</v>
      </c>
    </row>
    <row r="66" spans="1:21" x14ac:dyDescent="0.25">
      <c r="F66" s="19" t="s">
        <v>262</v>
      </c>
      <c r="G66" s="19">
        <v>4645588.6566257123</v>
      </c>
      <c r="H66" s="19">
        <v>3418570.984038326</v>
      </c>
      <c r="J66" s="19" t="s">
        <v>194</v>
      </c>
      <c r="K66" s="19">
        <v>0.16438383534417089</v>
      </c>
      <c r="L66" s="19" t="s">
        <v>348</v>
      </c>
      <c r="M66" s="19">
        <f t="shared" si="2"/>
        <v>1.5087753931042287</v>
      </c>
    </row>
    <row r="67" spans="1:21" x14ac:dyDescent="0.25">
      <c r="F67" s="19" t="s">
        <v>263</v>
      </c>
      <c r="G67" s="19">
        <v>5374325.4280190105</v>
      </c>
      <c r="H67" s="19">
        <v>3954829.9096179269</v>
      </c>
      <c r="J67" s="50" t="s">
        <v>349</v>
      </c>
      <c r="K67" s="50"/>
      <c r="L67" s="50"/>
      <c r="M67" s="19">
        <f>SUM(M47:M66)</f>
        <v>58.101334465455771</v>
      </c>
    </row>
    <row r="68" spans="1:21" x14ac:dyDescent="0.25">
      <c r="J68" s="19" t="s">
        <v>310</v>
      </c>
      <c r="K68" s="19">
        <v>0.2</v>
      </c>
      <c r="L68" s="19" t="s">
        <v>350</v>
      </c>
      <c r="M68" s="19">
        <f>K68*C3</f>
        <v>17.327135519999999</v>
      </c>
    </row>
    <row r="69" spans="1:21" x14ac:dyDescent="0.25">
      <c r="F69" s="19" t="s">
        <v>264</v>
      </c>
      <c r="G69" s="19"/>
      <c r="H69" s="19"/>
      <c r="J69" s="50" t="s">
        <v>351</v>
      </c>
      <c r="K69" s="50"/>
      <c r="L69" s="50"/>
      <c r="M69" s="19">
        <f>SUM(M67:M68)</f>
        <v>75.428469985455763</v>
      </c>
    </row>
    <row r="70" spans="1:21" x14ac:dyDescent="0.25">
      <c r="F70" s="19" t="s">
        <v>240</v>
      </c>
      <c r="G70" s="19">
        <v>59.750779288511069</v>
      </c>
      <c r="H70" s="19">
        <v>43.969084533142116</v>
      </c>
    </row>
    <row r="71" spans="1:21" x14ac:dyDescent="0.25">
      <c r="F71" s="19" t="s">
        <v>241</v>
      </c>
      <c r="G71" s="19">
        <v>261.87353517988413</v>
      </c>
      <c r="H71" s="19">
        <v>192.70609927477676</v>
      </c>
    </row>
    <row r="72" spans="1:21" x14ac:dyDescent="0.25">
      <c r="F72" s="19" t="s">
        <v>242</v>
      </c>
      <c r="G72" s="19">
        <v>485.54933487107871</v>
      </c>
      <c r="H72" s="19">
        <v>357.30345284488067</v>
      </c>
    </row>
    <row r="73" spans="1:21" x14ac:dyDescent="0.25">
      <c r="F73" s="19" t="s">
        <v>243</v>
      </c>
      <c r="G73" s="19">
        <v>44.181757729965611</v>
      </c>
      <c r="H73" s="19">
        <v>32.512236050872616</v>
      </c>
    </row>
    <row r="74" spans="1:21" x14ac:dyDescent="0.25">
      <c r="F74" s="19" t="s">
        <v>244</v>
      </c>
      <c r="G74" s="19">
        <v>36.815714218389161</v>
      </c>
      <c r="H74" s="19">
        <v>27.091751269051823</v>
      </c>
    </row>
    <row r="75" spans="1:21" x14ac:dyDescent="0.25">
      <c r="F75" s="19" t="s">
        <v>245</v>
      </c>
      <c r="G75" s="19">
        <v>373.79808538782333</v>
      </c>
      <c r="H75" s="19">
        <v>275.0685398659582</v>
      </c>
    </row>
    <row r="76" spans="1:21" x14ac:dyDescent="0.25">
      <c r="F76" s="19" t="s">
        <v>246</v>
      </c>
      <c r="G76" s="19">
        <v>2.1287817098902986</v>
      </c>
      <c r="H76" s="19">
        <v>1.566516521948877</v>
      </c>
    </row>
    <row r="77" spans="1:21" x14ac:dyDescent="0.25">
      <c r="F77" s="19" t="s">
        <v>247</v>
      </c>
      <c r="G77" s="19">
        <v>8.5517594395916117</v>
      </c>
      <c r="H77" s="19">
        <v>6.2930230899733148</v>
      </c>
    </row>
    <row r="78" spans="1:21" s="21" customFormat="1" ht="15.75" thickBot="1" x14ac:dyDescent="0.3"/>
    <row r="80" spans="1:21" x14ac:dyDescent="0.25">
      <c r="A80" t="s">
        <v>202</v>
      </c>
      <c r="B80" s="4" t="s">
        <v>277</v>
      </c>
      <c r="E80" t="s">
        <v>217</v>
      </c>
      <c r="G80" t="s">
        <v>231</v>
      </c>
      <c r="J80" s="19"/>
      <c r="K80" s="19" t="s">
        <v>203</v>
      </c>
      <c r="L80" s="19" t="s">
        <v>204</v>
      </c>
      <c r="M80" s="19" t="s">
        <v>205</v>
      </c>
      <c r="N80" s="19" t="s">
        <v>206</v>
      </c>
      <c r="O80" s="19" t="s">
        <v>207</v>
      </c>
      <c r="P80" s="19" t="s">
        <v>208</v>
      </c>
      <c r="Q80" s="19" t="s">
        <v>209</v>
      </c>
      <c r="R80" s="19" t="s">
        <v>210</v>
      </c>
      <c r="S80" s="19" t="s">
        <v>229</v>
      </c>
      <c r="T80" s="19" t="s">
        <v>211</v>
      </c>
      <c r="U80" s="19" t="s">
        <v>212</v>
      </c>
    </row>
    <row r="81" spans="1:21" x14ac:dyDescent="0.25">
      <c r="A81" s="19"/>
      <c r="B81" s="19" t="s">
        <v>57</v>
      </c>
      <c r="D81" t="s">
        <v>281</v>
      </c>
      <c r="E81" t="s">
        <v>312</v>
      </c>
      <c r="G81" t="s">
        <v>232</v>
      </c>
      <c r="H81" s="4" t="s">
        <v>311</v>
      </c>
      <c r="J81" s="19" t="s">
        <v>281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 spans="1:21" x14ac:dyDescent="0.25">
      <c r="A82" s="19" t="s">
        <v>203</v>
      </c>
      <c r="B82" s="19">
        <v>0</v>
      </c>
      <c r="D82" t="s">
        <v>233</v>
      </c>
      <c r="E82">
        <v>208.55593016520672</v>
      </c>
      <c r="G82" s="19" t="s">
        <v>233</v>
      </c>
      <c r="H82" s="19">
        <v>42.054058125897654</v>
      </c>
      <c r="J82" s="19" t="s">
        <v>233</v>
      </c>
      <c r="K82" s="19">
        <v>0.59948559548114422</v>
      </c>
      <c r="L82" s="19">
        <v>31.162511770094884</v>
      </c>
      <c r="M82" s="19">
        <v>92.739405365947874</v>
      </c>
      <c r="N82" s="19">
        <v>87.80539010914049</v>
      </c>
      <c r="O82" s="19">
        <v>7.4048778465774285</v>
      </c>
      <c r="P82" s="19">
        <v>27.402856473635325</v>
      </c>
      <c r="Q82" s="19">
        <v>15.143376276918628</v>
      </c>
      <c r="R82" s="19">
        <v>26.644359282675946</v>
      </c>
      <c r="S82" s="19">
        <v>0.85919428628983485</v>
      </c>
      <c r="T82" s="19">
        <v>14.386625734831167</v>
      </c>
      <c r="U82" s="19">
        <v>5.0634329769203816</v>
      </c>
    </row>
    <row r="83" spans="1:21" x14ac:dyDescent="0.25">
      <c r="A83" s="19" t="s">
        <v>204</v>
      </c>
      <c r="B83" s="19">
        <v>0</v>
      </c>
      <c r="D83" t="s">
        <v>234</v>
      </c>
      <c r="E83">
        <v>195.23583921109719</v>
      </c>
      <c r="G83" s="19" t="s">
        <v>234</v>
      </c>
      <c r="H83" s="19">
        <v>42.029111411224328</v>
      </c>
      <c r="J83" s="19" t="s">
        <v>234</v>
      </c>
      <c r="K83" s="19">
        <v>0.56109830085937462</v>
      </c>
      <c r="L83" s="19">
        <v>31.040875239427876</v>
      </c>
      <c r="M83" s="19">
        <v>86.768633557126009</v>
      </c>
      <c r="N83" s="19">
        <v>77.023369254554012</v>
      </c>
      <c r="O83" s="19">
        <v>5.7659536199282186</v>
      </c>
      <c r="P83" s="19">
        <v>23.7974029708143</v>
      </c>
      <c r="Q83" s="19">
        <v>15.084267185632953</v>
      </c>
      <c r="R83" s="19">
        <v>23.424929762041245</v>
      </c>
      <c r="S83" s="19">
        <v>0.76237311917875961</v>
      </c>
      <c r="T83" s="19">
        <v>13.451926826475214</v>
      </c>
      <c r="U83" s="19">
        <v>5.0551376461130113</v>
      </c>
    </row>
    <row r="84" spans="1:21" x14ac:dyDescent="0.25">
      <c r="A84" s="19" t="s">
        <v>205</v>
      </c>
      <c r="B84" s="19">
        <v>1.340421615651967</v>
      </c>
      <c r="D84" t="s">
        <v>235</v>
      </c>
      <c r="E84">
        <v>28.794560395512139</v>
      </c>
      <c r="G84" s="19" t="s">
        <v>235</v>
      </c>
      <c r="H84" s="19">
        <v>2.8801152315947869E-2</v>
      </c>
      <c r="J84" s="19" t="s">
        <v>235</v>
      </c>
      <c r="K84" s="19">
        <v>4.4208699766368043E-2</v>
      </c>
      <c r="L84" s="19">
        <v>0.1403430685312759</v>
      </c>
      <c r="M84" s="19">
        <v>16.143108513295203</v>
      </c>
      <c r="N84" s="19">
        <v>15.489747161108614</v>
      </c>
      <c r="O84" s="19">
        <v>1.8920006592147149</v>
      </c>
      <c r="P84" s="19">
        <v>4.7328731800978092</v>
      </c>
      <c r="Q84" s="19">
        <v>6.8199505556737663E-2</v>
      </c>
      <c r="R84" s="19">
        <v>4.2715369192459125</v>
      </c>
      <c r="S84" s="19">
        <v>0.11655410222418536</v>
      </c>
      <c r="T84" s="19">
        <v>1.0791402075247603</v>
      </c>
      <c r="U84" s="19">
        <v>4.2388866450146097</v>
      </c>
    </row>
    <row r="85" spans="1:21" x14ac:dyDescent="0.25">
      <c r="A85" s="19" t="s">
        <v>206</v>
      </c>
      <c r="B85" s="19">
        <v>0.16781255752011201</v>
      </c>
      <c r="D85" t="s">
        <v>236</v>
      </c>
      <c r="E85">
        <v>116.0420516854535</v>
      </c>
      <c r="G85" s="19" t="s">
        <v>236</v>
      </c>
      <c r="H85" s="19">
        <v>41.99144713376802</v>
      </c>
      <c r="J85" s="19" t="s">
        <v>236</v>
      </c>
      <c r="K85" s="19">
        <v>0.14130074534648657</v>
      </c>
      <c r="L85" s="19">
        <v>30.569798562431398</v>
      </c>
      <c r="M85" s="19">
        <v>35.864794293409304</v>
      </c>
      <c r="N85" s="19">
        <v>47.027913220609697</v>
      </c>
      <c r="O85" s="19">
        <v>2.8015304481969996</v>
      </c>
      <c r="P85" s="19">
        <v>17.75271953538055</v>
      </c>
      <c r="Q85" s="19">
        <v>14.855348174621653</v>
      </c>
      <c r="R85" s="19">
        <v>18.300987652468358</v>
      </c>
      <c r="S85" s="19">
        <v>0.2498574984924572</v>
      </c>
      <c r="T85" s="19">
        <v>12.119698293898342</v>
      </c>
      <c r="U85" s="19">
        <v>7.4969606683584294E-2</v>
      </c>
    </row>
    <row r="86" spans="1:21" x14ac:dyDescent="0.25">
      <c r="A86" s="19" t="s">
        <v>207</v>
      </c>
      <c r="B86" s="19">
        <v>0.16349245877499799</v>
      </c>
      <c r="D86" t="s">
        <v>237</v>
      </c>
      <c r="E86">
        <v>50.399227130131514</v>
      </c>
      <c r="G86" s="19" t="s">
        <v>237</v>
      </c>
      <c r="H86" s="19">
        <v>8.8631251403564412E-3</v>
      </c>
      <c r="J86" s="19" t="s">
        <v>237</v>
      </c>
      <c r="K86" s="19">
        <v>0.37558885574652001</v>
      </c>
      <c r="L86" s="19">
        <v>0.33073360846520233</v>
      </c>
      <c r="M86" s="19">
        <v>34.760730750421502</v>
      </c>
      <c r="N86" s="19">
        <v>14.505708872835699</v>
      </c>
      <c r="O86" s="19">
        <v>1.0724225125165034</v>
      </c>
      <c r="P86" s="19">
        <v>1.3118102553359405</v>
      </c>
      <c r="Q86" s="19">
        <v>0.16071950545456271</v>
      </c>
      <c r="R86" s="19">
        <v>0.85240519032697282</v>
      </c>
      <c r="S86" s="19">
        <v>0.39596151846211702</v>
      </c>
      <c r="T86" s="19">
        <v>0.25308832505211093</v>
      </c>
      <c r="U86" s="19">
        <v>0.74128139441481744</v>
      </c>
    </row>
    <row r="87" spans="1:21" x14ac:dyDescent="0.25">
      <c r="A87" s="19" t="s">
        <v>208</v>
      </c>
      <c r="B87" s="19">
        <v>0.88953599999999999</v>
      </c>
      <c r="D87" t="s">
        <v>282</v>
      </c>
      <c r="E87">
        <v>15686.743734183012</v>
      </c>
      <c r="G87" s="19" t="s">
        <v>238</v>
      </c>
      <c r="H87" s="19">
        <v>297.15863060888029</v>
      </c>
      <c r="J87" s="19" t="s">
        <v>282</v>
      </c>
      <c r="K87" s="19">
        <v>78.026544304982764</v>
      </c>
      <c r="L87" s="19">
        <v>396.91522909104305</v>
      </c>
      <c r="M87" s="19">
        <v>6811.9230538629199</v>
      </c>
      <c r="N87" s="19">
        <v>19290.022049679774</v>
      </c>
      <c r="O87" s="19">
        <v>595.76631225618189</v>
      </c>
      <c r="P87" s="19">
        <v>3243.4669431529601</v>
      </c>
      <c r="Q87" s="19">
        <v>316.0733358463682</v>
      </c>
      <c r="R87" s="19">
        <v>1214.2976077455307</v>
      </c>
      <c r="S87" s="19">
        <v>160.95495760499733</v>
      </c>
      <c r="T87" s="19">
        <v>589.74102266638693</v>
      </c>
      <c r="U87" s="19">
        <v>30.693506811075032</v>
      </c>
    </row>
    <row r="88" spans="1:21" x14ac:dyDescent="0.25">
      <c r="A88" s="19" t="s">
        <v>209</v>
      </c>
      <c r="B88" s="19">
        <v>0.123529411764706</v>
      </c>
      <c r="D88" t="s">
        <v>283</v>
      </c>
      <c r="G88" s="19" t="s">
        <v>239</v>
      </c>
      <c r="H88" s="19">
        <v>0</v>
      </c>
      <c r="J88" s="19" t="s">
        <v>283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 spans="1:21" x14ac:dyDescent="0.25">
      <c r="A89" s="19" t="s">
        <v>210</v>
      </c>
      <c r="B89" s="19">
        <v>0</v>
      </c>
      <c r="D89" t="s">
        <v>240</v>
      </c>
      <c r="E89">
        <v>4623.0124230012989</v>
      </c>
      <c r="G89" s="19" t="s">
        <v>240</v>
      </c>
      <c r="H89" s="19">
        <v>755.17000050078445</v>
      </c>
      <c r="J89" s="19" t="s">
        <v>240</v>
      </c>
      <c r="K89" s="19">
        <v>22.443454384983877</v>
      </c>
      <c r="L89" s="19">
        <v>4788.6749100589632</v>
      </c>
      <c r="M89" s="19">
        <v>2237.5168161196771</v>
      </c>
      <c r="N89" s="19">
        <v>1502.5702630295884</v>
      </c>
      <c r="O89" s="19">
        <v>80.950090659460841</v>
      </c>
      <c r="P89" s="19">
        <v>354.99696292609974</v>
      </c>
      <c r="Q89" s="19">
        <v>2327.0494549946079</v>
      </c>
      <c r="R89" s="19">
        <v>355.0312953503236</v>
      </c>
      <c r="S89" s="19">
        <v>24.189952322889123</v>
      </c>
      <c r="T89" s="19">
        <v>214.02495746934443</v>
      </c>
      <c r="U89" s="19">
        <v>80.293147440403487</v>
      </c>
    </row>
    <row r="90" spans="1:21" x14ac:dyDescent="0.25">
      <c r="A90" s="19" t="s">
        <v>229</v>
      </c>
      <c r="B90" s="19">
        <v>0</v>
      </c>
      <c r="D90" t="s">
        <v>241</v>
      </c>
      <c r="E90">
        <v>16733.91903286508</v>
      </c>
      <c r="G90" s="19" t="s">
        <v>241</v>
      </c>
      <c r="H90" s="19">
        <v>2862.3354553979043</v>
      </c>
      <c r="J90" s="19" t="s">
        <v>241</v>
      </c>
      <c r="K90" s="19">
        <v>51.769986709039195</v>
      </c>
      <c r="L90" s="19">
        <v>5240.8174315327633</v>
      </c>
      <c r="M90" s="19">
        <v>8593.8941657050655</v>
      </c>
      <c r="N90" s="19">
        <v>4582.0073062231741</v>
      </c>
      <c r="O90" s="19">
        <v>313.07926811255049</v>
      </c>
      <c r="P90" s="19">
        <v>1368.6201876490502</v>
      </c>
      <c r="Q90" s="19">
        <v>2546.7674412720557</v>
      </c>
      <c r="R90" s="19">
        <v>1288.7761756478124</v>
      </c>
      <c r="S90" s="19">
        <v>59.058943127755001</v>
      </c>
      <c r="T90" s="19">
        <v>654.21503116467034</v>
      </c>
      <c r="U90" s="19">
        <v>478.30298105306855</v>
      </c>
    </row>
    <row r="91" spans="1:21" x14ac:dyDescent="0.25">
      <c r="A91" s="19" t="s">
        <v>211</v>
      </c>
      <c r="B91" s="19">
        <v>0</v>
      </c>
      <c r="D91" t="s">
        <v>274</v>
      </c>
      <c r="E91">
        <v>28696.703441822443</v>
      </c>
      <c r="G91" s="19" t="s">
        <v>242</v>
      </c>
      <c r="H91" s="19">
        <v>3723.2181942225798</v>
      </c>
      <c r="J91" s="19" t="s">
        <v>274</v>
      </c>
      <c r="K91" s="19">
        <v>415.70204594100272</v>
      </c>
      <c r="L91" s="19">
        <v>2128.1932470291808</v>
      </c>
      <c r="M91" s="19">
        <v>16097.099463753573</v>
      </c>
      <c r="N91" s="19">
        <v>7985.8501767559865</v>
      </c>
      <c r="O91" s="19">
        <v>700.39275388674355</v>
      </c>
      <c r="P91" s="19">
        <v>2039.4870240845519</v>
      </c>
      <c r="Q91" s="19">
        <v>1034.1923451975319</v>
      </c>
      <c r="R91" s="19">
        <v>1871.8478998722933</v>
      </c>
      <c r="S91" s="19">
        <v>407.61540230008075</v>
      </c>
      <c r="T91" s="19">
        <v>855.12272098052813</v>
      </c>
      <c r="U91" s="19">
        <v>294.45725550949066</v>
      </c>
    </row>
    <row r="92" spans="1:21" x14ac:dyDescent="0.25">
      <c r="A92" s="19" t="s">
        <v>212</v>
      </c>
      <c r="B92" s="19">
        <v>0</v>
      </c>
      <c r="D92" t="s">
        <v>243</v>
      </c>
      <c r="E92">
        <v>6183.8217309466982</v>
      </c>
      <c r="G92" s="19" t="s">
        <v>243</v>
      </c>
      <c r="H92" s="19">
        <v>151.73605973296833</v>
      </c>
      <c r="J92" s="19" t="s">
        <v>243</v>
      </c>
      <c r="K92" s="19">
        <v>30.150047360078648</v>
      </c>
      <c r="L92" s="19">
        <v>53.376411520279596</v>
      </c>
      <c r="M92" s="19">
        <v>1438.3620267849465</v>
      </c>
      <c r="N92" s="19">
        <v>21864.981311351032</v>
      </c>
      <c r="O92" s="19">
        <v>1764.0904161082681</v>
      </c>
      <c r="P92" s="19">
        <v>161.02336125065659</v>
      </c>
      <c r="Q92" s="19">
        <v>25.938187843347492</v>
      </c>
      <c r="R92" s="19">
        <v>138.48302876420297</v>
      </c>
      <c r="S92" s="19">
        <v>30.073961742847555</v>
      </c>
      <c r="T92" s="19">
        <v>51.390283724355903</v>
      </c>
      <c r="U92" s="19">
        <v>152.40288099971971</v>
      </c>
    </row>
    <row r="93" spans="1:21" x14ac:dyDescent="0.25">
      <c r="D93" t="s">
        <v>244</v>
      </c>
      <c r="E93">
        <v>2257.2874266623053</v>
      </c>
      <c r="G93" s="19" t="s">
        <v>244</v>
      </c>
      <c r="H93" s="19">
        <v>151.32405357524303</v>
      </c>
      <c r="J93" s="19" t="s">
        <v>244</v>
      </c>
      <c r="K93" s="19">
        <v>27.498896462972862</v>
      </c>
      <c r="L93" s="19">
        <v>49.687215135750726</v>
      </c>
      <c r="M93" s="19">
        <v>1059.0057076700878</v>
      </c>
      <c r="N93" s="19">
        <v>2640.8949276668709</v>
      </c>
      <c r="O93" s="19">
        <v>891.64816785682763</v>
      </c>
      <c r="P93" s="19">
        <v>106.25031205973384</v>
      </c>
      <c r="Q93" s="19">
        <v>24.14542834364692</v>
      </c>
      <c r="R93" s="19">
        <v>93.11368101065645</v>
      </c>
      <c r="S93" s="19">
        <v>26.704243504573288</v>
      </c>
      <c r="T93" s="19">
        <v>38.114839379676184</v>
      </c>
      <c r="U93" s="19">
        <v>96.756000803265891</v>
      </c>
    </row>
    <row r="94" spans="1:21" x14ac:dyDescent="0.25">
      <c r="D94" t="s">
        <v>245</v>
      </c>
      <c r="E94">
        <v>331367.85736901808</v>
      </c>
      <c r="G94" s="19" t="s">
        <v>245</v>
      </c>
      <c r="H94" s="19">
        <v>3.1797342713300263</v>
      </c>
      <c r="J94" s="19" t="s">
        <v>245</v>
      </c>
      <c r="K94" s="19">
        <v>2035.4967741717626</v>
      </c>
      <c r="L94" s="19">
        <v>140.28078107671766</v>
      </c>
      <c r="M94" s="19">
        <v>243784.78704701917</v>
      </c>
      <c r="N94" s="19">
        <v>22287.948002488087</v>
      </c>
      <c r="O94" s="19">
        <v>1528.6853650857322</v>
      </c>
      <c r="P94" s="19">
        <v>665.21480732884527</v>
      </c>
      <c r="Q94" s="19">
        <v>68.169237060774762</v>
      </c>
      <c r="R94" s="19">
        <v>578.113214588814</v>
      </c>
      <c r="S94" s="19">
        <v>1774.8012360785151</v>
      </c>
      <c r="T94" s="19">
        <v>143.56580279685738</v>
      </c>
      <c r="U94" s="19">
        <v>163.15306327747476</v>
      </c>
    </row>
    <row r="95" spans="1:21" x14ac:dyDescent="0.25">
      <c r="D95" t="s">
        <v>246</v>
      </c>
      <c r="E95">
        <v>173.97082589629616</v>
      </c>
      <c r="G95" s="19" t="s">
        <v>246</v>
      </c>
      <c r="H95" s="19">
        <v>25.613148325704756</v>
      </c>
      <c r="J95" s="19" t="s">
        <v>246</v>
      </c>
      <c r="K95" s="19">
        <v>3.995638789011045</v>
      </c>
      <c r="L95" s="19">
        <v>8.2807107302168106</v>
      </c>
      <c r="M95" s="19">
        <v>93.17849952870769</v>
      </c>
      <c r="N95" s="19">
        <v>75.189213821660147</v>
      </c>
      <c r="O95" s="19">
        <v>3.9878461058498909</v>
      </c>
      <c r="P95" s="19">
        <v>10.896066506191671</v>
      </c>
      <c r="Q95" s="19">
        <v>4.0239990714846332</v>
      </c>
      <c r="R95" s="19">
        <v>9.3803446504302723</v>
      </c>
      <c r="S95" s="19">
        <v>3.9201470123423392</v>
      </c>
      <c r="T95" s="19">
        <v>3.6405677572277213</v>
      </c>
      <c r="U95" s="19">
        <v>4.3024746586752221</v>
      </c>
    </row>
    <row r="96" spans="1:21" x14ac:dyDescent="0.25">
      <c r="D96" t="s">
        <v>247</v>
      </c>
      <c r="E96">
        <v>376.90905556867165</v>
      </c>
      <c r="G96" s="19" t="s">
        <v>247</v>
      </c>
      <c r="H96" s="19">
        <v>64.646690100550046</v>
      </c>
      <c r="J96" s="19" t="s">
        <v>247</v>
      </c>
      <c r="K96" s="19">
        <v>11.270979003369744</v>
      </c>
      <c r="L96" s="19">
        <v>20.494648863463883</v>
      </c>
      <c r="M96" s="19">
        <v>191.54336618568084</v>
      </c>
      <c r="N96" s="19">
        <v>135.79356799370098</v>
      </c>
      <c r="O96" s="19">
        <v>13.73354736327942</v>
      </c>
      <c r="P96" s="19">
        <v>32.882342937591638</v>
      </c>
      <c r="Q96" s="19">
        <v>9.9593441534001013</v>
      </c>
      <c r="R96" s="19">
        <v>28.882849209425071</v>
      </c>
      <c r="S96" s="19">
        <v>10.686763240302847</v>
      </c>
      <c r="T96" s="19">
        <v>10.278401187565203</v>
      </c>
      <c r="U96" s="19">
        <v>7.714505969296285</v>
      </c>
    </row>
    <row r="97" spans="1:22" x14ac:dyDescent="0.25">
      <c r="D97" t="s">
        <v>248</v>
      </c>
      <c r="E97">
        <v>26418.539595688188</v>
      </c>
      <c r="G97" s="19" t="s">
        <v>248</v>
      </c>
      <c r="H97" s="19">
        <v>6426.3039519373751</v>
      </c>
      <c r="J97" s="19" t="s">
        <v>248</v>
      </c>
      <c r="K97" s="19">
        <v>61.483187528567832</v>
      </c>
      <c r="L97" s="19">
        <v>4669.2798984403316</v>
      </c>
      <c r="M97" s="19">
        <v>10910.671216437255</v>
      </c>
      <c r="N97" s="19">
        <v>10817.559558982926</v>
      </c>
      <c r="O97" s="19">
        <v>801.65867882675059</v>
      </c>
      <c r="P97" s="19">
        <v>3530.6684886303738</v>
      </c>
      <c r="Q97" s="19">
        <v>2269.0296265588559</v>
      </c>
      <c r="R97" s="19">
        <v>3503.5692887161558</v>
      </c>
      <c r="S97" s="19">
        <v>90.449273560671827</v>
      </c>
      <c r="T97" s="19">
        <v>2028.9811943764912</v>
      </c>
      <c r="U97" s="19">
        <v>692.10593727602509</v>
      </c>
    </row>
    <row r="98" spans="1:22" x14ac:dyDescent="0.25">
      <c r="D98" t="s">
        <v>249</v>
      </c>
      <c r="E98">
        <v>413.06911992622219</v>
      </c>
      <c r="G98" s="19" t="s">
        <v>249</v>
      </c>
      <c r="H98" s="19">
        <v>81.080511952974007</v>
      </c>
      <c r="J98" s="19" t="s">
        <v>249</v>
      </c>
      <c r="K98" s="19">
        <v>1.0739902950806881</v>
      </c>
      <c r="L98" s="19">
        <v>43.38691256917334</v>
      </c>
      <c r="M98" s="19">
        <v>191.86557532729898</v>
      </c>
      <c r="N98" s="19">
        <v>170.22722992227622</v>
      </c>
      <c r="O98" s="19">
        <v>17.834402831069479</v>
      </c>
      <c r="P98" s="19">
        <v>45.778154239618431</v>
      </c>
      <c r="Q98" s="19">
        <v>21.083805675743889</v>
      </c>
      <c r="R98" s="19">
        <v>42.225049255207516</v>
      </c>
      <c r="S98" s="19">
        <v>1.4203609965509216</v>
      </c>
      <c r="T98" s="19">
        <v>20.303287438604762</v>
      </c>
      <c r="U98" s="19">
        <v>4.2140903448745322</v>
      </c>
    </row>
    <row r="99" spans="1:22" x14ac:dyDescent="0.25">
      <c r="D99" t="s">
        <v>250</v>
      </c>
      <c r="E99">
        <v>14040455.742552554</v>
      </c>
      <c r="G99" s="19" t="s">
        <v>250</v>
      </c>
      <c r="H99" s="19">
        <v>2444679.230797166</v>
      </c>
      <c r="J99" s="19" t="s">
        <v>250</v>
      </c>
      <c r="K99" s="19">
        <v>43371.124514314419</v>
      </c>
      <c r="L99" s="19">
        <v>1922320.6387020892</v>
      </c>
      <c r="M99" s="19">
        <v>6718014.2123218337</v>
      </c>
      <c r="N99" s="19">
        <v>5505176.9165603817</v>
      </c>
      <c r="O99" s="19">
        <v>702619.65990391502</v>
      </c>
      <c r="P99" s="19">
        <v>1615110.9732765052</v>
      </c>
      <c r="Q99" s="19">
        <v>934148.85717550258</v>
      </c>
      <c r="R99" s="19">
        <v>1562298.8852545004</v>
      </c>
      <c r="S99" s="19">
        <v>58548.115720519847</v>
      </c>
      <c r="T99" s="19">
        <v>834653.54386261071</v>
      </c>
      <c r="U99" s="19">
        <v>616480.37679636455</v>
      </c>
    </row>
    <row r="100" spans="1:22" x14ac:dyDescent="0.25">
      <c r="D100" t="s">
        <v>284</v>
      </c>
      <c r="G100" s="19" t="s">
        <v>251</v>
      </c>
      <c r="H100" s="19">
        <v>0</v>
      </c>
      <c r="J100" s="19" t="s">
        <v>284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</row>
    <row r="101" spans="1:22" x14ac:dyDescent="0.25">
      <c r="D101" t="s">
        <v>240</v>
      </c>
      <c r="E101">
        <v>188.17357861142537</v>
      </c>
      <c r="G101" s="19" t="s">
        <v>240</v>
      </c>
      <c r="H101" s="19">
        <v>25.71441367142409</v>
      </c>
      <c r="J101" s="19" t="s">
        <v>240</v>
      </c>
      <c r="K101" s="19">
        <v>1.8638788330593348</v>
      </c>
      <c r="L101" s="19">
        <v>19.404920203510517</v>
      </c>
      <c r="M101" s="19">
        <v>98.97599611906341</v>
      </c>
      <c r="N101" s="19">
        <v>75.209894673353133</v>
      </c>
      <c r="O101" s="19">
        <v>6.3735081169700258</v>
      </c>
      <c r="P101" s="19">
        <v>16.819508538523312</v>
      </c>
      <c r="Q101" s="19">
        <v>9.4297921307915615</v>
      </c>
      <c r="R101" s="19">
        <v>16.748821153973065</v>
      </c>
      <c r="S101" s="19">
        <v>1.9535824348027171</v>
      </c>
      <c r="T101" s="19">
        <v>10.789704049421278</v>
      </c>
      <c r="U101" s="19">
        <v>1.7767642322069568</v>
      </c>
    </row>
    <row r="102" spans="1:22" x14ac:dyDescent="0.25">
      <c r="D102" t="s">
        <v>241</v>
      </c>
      <c r="E102">
        <v>656.16705312746524</v>
      </c>
      <c r="G102" s="19" t="s">
        <v>241</v>
      </c>
      <c r="H102" s="19">
        <v>119.44713412802632</v>
      </c>
      <c r="J102" s="19" t="s">
        <v>241</v>
      </c>
      <c r="K102" s="19">
        <v>3.4420648888917871</v>
      </c>
      <c r="L102" s="19">
        <v>87.513031830214516</v>
      </c>
      <c r="M102" s="19">
        <v>277.26364374138052</v>
      </c>
      <c r="N102" s="19">
        <v>330.54961113182469</v>
      </c>
      <c r="O102" s="19">
        <v>37.249893960218891</v>
      </c>
      <c r="P102" s="19">
        <v>110.45755460663862</v>
      </c>
      <c r="Q102" s="19">
        <v>42.526827744696277</v>
      </c>
      <c r="R102" s="19">
        <v>102.58271394053884</v>
      </c>
      <c r="S102" s="19">
        <v>4.5485497102060739</v>
      </c>
      <c r="T102" s="19">
        <v>43.497876829267149</v>
      </c>
      <c r="U102" s="19">
        <v>1.334845587872266</v>
      </c>
    </row>
    <row r="103" spans="1:22" x14ac:dyDescent="0.25">
      <c r="D103" t="s">
        <v>242</v>
      </c>
      <c r="E103">
        <v>1239.163193587488</v>
      </c>
      <c r="G103" s="19" t="s">
        <v>242</v>
      </c>
      <c r="H103" s="19">
        <v>140.73084045122232</v>
      </c>
      <c r="J103" s="19" t="s">
        <v>242</v>
      </c>
      <c r="K103" s="19">
        <v>22.496942472932499</v>
      </c>
      <c r="L103" s="19">
        <v>112.37349043481314</v>
      </c>
      <c r="M103" s="19">
        <v>594.92777792786831</v>
      </c>
      <c r="N103" s="19">
        <v>624.41079440872431</v>
      </c>
      <c r="O103" s="19">
        <v>86.04711831022324</v>
      </c>
      <c r="P103" s="19">
        <v>197.1596559427399</v>
      </c>
      <c r="Q103" s="19">
        <v>54.607730652769206</v>
      </c>
      <c r="R103" s="19">
        <v>180.99825851063173</v>
      </c>
      <c r="S103" s="19">
        <v>23.378912267547321</v>
      </c>
      <c r="T103" s="19">
        <v>69.560292449263954</v>
      </c>
      <c r="U103" s="19">
        <v>3.1466989014772291</v>
      </c>
    </row>
    <row r="104" spans="1:22" x14ac:dyDescent="0.25">
      <c r="D104" t="s">
        <v>243</v>
      </c>
      <c r="E104">
        <v>102.86019721454997</v>
      </c>
      <c r="G104" s="19" t="s">
        <v>243</v>
      </c>
      <c r="H104" s="19">
        <v>0.48690948356061126</v>
      </c>
      <c r="J104" s="19" t="s">
        <v>243</v>
      </c>
      <c r="K104" s="19">
        <v>1.7686989299530076</v>
      </c>
      <c r="L104" s="19">
        <v>1.6825891455331752</v>
      </c>
      <c r="M104" s="19">
        <v>56.031853673106909</v>
      </c>
      <c r="N104" s="19">
        <v>57.973685623470004</v>
      </c>
      <c r="O104" s="19">
        <v>9.2489795726171948</v>
      </c>
      <c r="P104" s="19">
        <v>17.902732441232306</v>
      </c>
      <c r="Q104" s="19">
        <v>0.81765169439004715</v>
      </c>
      <c r="R104" s="19">
        <v>17.01012373224459</v>
      </c>
      <c r="S104" s="19">
        <v>1.9450998108771271</v>
      </c>
      <c r="T104" s="19">
        <v>7.3325945460078392</v>
      </c>
      <c r="U104" s="19">
        <v>0.35315350772232357</v>
      </c>
    </row>
    <row r="105" spans="1:22" x14ac:dyDescent="0.25">
      <c r="D105" t="s">
        <v>244</v>
      </c>
      <c r="E105">
        <v>86.306125543973707</v>
      </c>
      <c r="G105" s="19" t="s">
        <v>244</v>
      </c>
      <c r="H105" s="19">
        <v>0.46520049455669088</v>
      </c>
      <c r="J105" s="19" t="s">
        <v>244</v>
      </c>
      <c r="K105" s="19">
        <v>1.6082301517711417</v>
      </c>
      <c r="L105" s="19">
        <v>1.453795150451284</v>
      </c>
      <c r="M105" s="19">
        <v>47.108866431363879</v>
      </c>
      <c r="N105" s="19">
        <v>47.659623191025439</v>
      </c>
      <c r="O105" s="19">
        <v>7.8191712286401263</v>
      </c>
      <c r="P105" s="19">
        <v>14.987199657883535</v>
      </c>
      <c r="Q105" s="19">
        <v>0.70646959254325503</v>
      </c>
      <c r="R105" s="19">
        <v>14.390170352122153</v>
      </c>
      <c r="S105" s="19">
        <v>1.7456985270289223</v>
      </c>
      <c r="T105" s="19">
        <v>6.5081171267648825</v>
      </c>
      <c r="U105" s="19">
        <v>0.30807072586359269</v>
      </c>
    </row>
    <row r="106" spans="1:22" x14ac:dyDescent="0.25">
      <c r="D106" t="s">
        <v>245</v>
      </c>
      <c r="E106">
        <v>840.13452668204218</v>
      </c>
      <c r="G106" s="19" t="s">
        <v>245</v>
      </c>
      <c r="H106" s="19">
        <v>1.0632153236948769</v>
      </c>
      <c r="J106" s="19" t="s">
        <v>245</v>
      </c>
      <c r="K106" s="19">
        <v>12.62581055119823</v>
      </c>
      <c r="L106" s="19">
        <v>10.254474859772461</v>
      </c>
      <c r="M106" s="19">
        <v>447.77198958024871</v>
      </c>
      <c r="N106" s="19">
        <v>530.13975641177854</v>
      </c>
      <c r="O106" s="19">
        <v>77.160309601005082</v>
      </c>
      <c r="P106" s="19">
        <v>153.64555829493946</v>
      </c>
      <c r="Q106" s="19">
        <v>4.9831468165784489</v>
      </c>
      <c r="R106" s="19">
        <v>137.03659389837949</v>
      </c>
      <c r="S106" s="19">
        <v>14.296496739170493</v>
      </c>
      <c r="T106" s="19">
        <v>39.885302013832202</v>
      </c>
      <c r="U106" s="19">
        <v>0.84249708496643849</v>
      </c>
    </row>
    <row r="107" spans="1:22" x14ac:dyDescent="0.25">
      <c r="D107" t="s">
        <v>246</v>
      </c>
      <c r="E107">
        <v>5.8167833869400436</v>
      </c>
      <c r="G107" s="19" t="s">
        <v>246</v>
      </c>
      <c r="H107" s="19">
        <v>7.886272810984947E-2</v>
      </c>
      <c r="J107" s="19" t="s">
        <v>246</v>
      </c>
      <c r="K107" s="19">
        <v>0.21767970561114469</v>
      </c>
      <c r="L107" s="19">
        <v>0.17642320880253309</v>
      </c>
      <c r="M107" s="19">
        <v>3.3726011802094882</v>
      </c>
      <c r="N107" s="19">
        <v>2.7894068672444154</v>
      </c>
      <c r="O107" s="19">
        <v>0.48108570027415065</v>
      </c>
      <c r="P107" s="19">
        <v>0.7418151197519538</v>
      </c>
      <c r="Q107" s="19">
        <v>8.5732596094580046E-2</v>
      </c>
      <c r="R107" s="19">
        <v>0.72054762731206756</v>
      </c>
      <c r="S107" s="19">
        <v>0.21440166451515094</v>
      </c>
      <c r="T107" s="19">
        <v>0.35757102666387119</v>
      </c>
      <c r="U107" s="19">
        <v>3.4207424920292884E-2</v>
      </c>
    </row>
    <row r="108" spans="1:22" x14ac:dyDescent="0.25">
      <c r="D108" t="s">
        <v>247</v>
      </c>
      <c r="E108">
        <v>17.871809651816289</v>
      </c>
      <c r="G108" s="19" t="s">
        <v>247</v>
      </c>
      <c r="H108" s="19">
        <v>0.18185997954303026</v>
      </c>
      <c r="J108" s="19" t="s">
        <v>247</v>
      </c>
      <c r="K108" s="19">
        <v>0.61094278657317092</v>
      </c>
      <c r="L108" s="19">
        <v>0.49269984459972332</v>
      </c>
      <c r="M108" s="19">
        <v>9.0502355034548643</v>
      </c>
      <c r="N108" s="19">
        <v>9.4755039248757917</v>
      </c>
      <c r="O108" s="19">
        <v>2.1990273730026857</v>
      </c>
      <c r="P108" s="19">
        <v>4.0241307723090278</v>
      </c>
      <c r="Q108" s="19">
        <v>0.23942675716894649</v>
      </c>
      <c r="R108" s="19">
        <v>3.7575162502955943</v>
      </c>
      <c r="S108" s="19">
        <v>0.63103903856207388</v>
      </c>
      <c r="T108" s="19">
        <v>1.4713512631636172</v>
      </c>
      <c r="U108" s="19">
        <v>6.688493724002767E-2</v>
      </c>
    </row>
    <row r="109" spans="1:22" s="21" customFormat="1" ht="15.75" thickBot="1" x14ac:dyDescent="0.3"/>
    <row r="111" spans="1:22" x14ac:dyDescent="0.25">
      <c r="A111" t="s">
        <v>213</v>
      </c>
      <c r="E111" s="3" t="s">
        <v>309</v>
      </c>
      <c r="H111" t="s">
        <v>252</v>
      </c>
    </row>
    <row r="112" spans="1:22" x14ac:dyDescent="0.25">
      <c r="B112" s="19" t="s">
        <v>276</v>
      </c>
      <c r="D112" s="19" t="s">
        <v>308</v>
      </c>
      <c r="E112" s="19"/>
      <c r="H112" s="19" t="s">
        <v>232</v>
      </c>
      <c r="I112" s="19" t="s">
        <v>313</v>
      </c>
      <c r="K112" s="19"/>
      <c r="L112" s="19" t="s">
        <v>208</v>
      </c>
      <c r="M112" s="19" t="s">
        <v>219</v>
      </c>
      <c r="N112" s="19" t="s">
        <v>220</v>
      </c>
      <c r="O112" s="19" t="s">
        <v>221</v>
      </c>
      <c r="P112" s="19" t="s">
        <v>222</v>
      </c>
      <c r="Q112" s="19" t="s">
        <v>223</v>
      </c>
      <c r="R112" s="19" t="s">
        <v>224</v>
      </c>
      <c r="S112" s="19" t="s">
        <v>225</v>
      </c>
      <c r="T112" s="19" t="s">
        <v>226</v>
      </c>
      <c r="U112" s="19" t="s">
        <v>227</v>
      </c>
      <c r="V112" s="19" t="s">
        <v>228</v>
      </c>
    </row>
    <row r="113" spans="1:22" x14ac:dyDescent="0.25">
      <c r="A113" s="19" t="s">
        <v>214</v>
      </c>
      <c r="B113" s="19">
        <v>0</v>
      </c>
      <c r="D113" s="19" t="s">
        <v>233</v>
      </c>
      <c r="E113" s="19">
        <v>307.82038888201043</v>
      </c>
      <c r="H113" s="19" t="s">
        <v>233</v>
      </c>
      <c r="I113" s="19">
        <v>48.576113989509722</v>
      </c>
      <c r="K113" s="19" t="s">
        <v>281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1:22" x14ac:dyDescent="0.25">
      <c r="A114" s="19" t="s">
        <v>215</v>
      </c>
      <c r="B114" s="19">
        <v>0</v>
      </c>
      <c r="D114" s="19" t="s">
        <v>234</v>
      </c>
      <c r="E114" s="19">
        <v>278.59391378142629</v>
      </c>
      <c r="H114" s="19" t="s">
        <v>234</v>
      </c>
      <c r="I114" s="19">
        <v>35.862370659288189</v>
      </c>
      <c r="K114" s="19" t="s">
        <v>233</v>
      </c>
      <c r="L114" s="19">
        <v>27.402856473635325</v>
      </c>
      <c r="M114" s="19">
        <v>248.72679178034429</v>
      </c>
      <c r="N114" s="19">
        <v>2.5498994286683607</v>
      </c>
      <c r="O114" s="19">
        <v>14.639380977761119</v>
      </c>
      <c r="P114" s="19">
        <v>0</v>
      </c>
      <c r="Q114" s="19">
        <v>206.51164957840297</v>
      </c>
      <c r="R114" s="19">
        <v>115.35555337919416</v>
      </c>
      <c r="S114" s="19">
        <v>1.113486870507592</v>
      </c>
      <c r="T114" s="19">
        <v>18.494451852792412</v>
      </c>
      <c r="U114" s="19">
        <v>82.829220473939557</v>
      </c>
      <c r="V114" s="19">
        <v>17.649919369774103</v>
      </c>
    </row>
    <row r="115" spans="1:22" x14ac:dyDescent="0.25">
      <c r="A115" s="19" t="s">
        <v>216</v>
      </c>
      <c r="B115" s="19">
        <v>0</v>
      </c>
      <c r="D115" s="19" t="s">
        <v>235</v>
      </c>
      <c r="E115" s="19">
        <v>74.298118610425973</v>
      </c>
      <c r="F115">
        <f>B116*E82</f>
        <v>198.00796836036898</v>
      </c>
      <c r="H115" s="19" t="s">
        <v>235</v>
      </c>
      <c r="I115" s="19">
        <v>14.679329447492279</v>
      </c>
      <c r="K115" s="19" t="s">
        <v>234</v>
      </c>
      <c r="L115" s="19">
        <v>23.7974029708143</v>
      </c>
      <c r="M115" s="19">
        <v>233.02275196996848</v>
      </c>
      <c r="N115" s="19">
        <v>1.8825186072842315</v>
      </c>
      <c r="O115" s="19">
        <v>13.4545332518022</v>
      </c>
      <c r="P115" s="19">
        <v>0</v>
      </c>
      <c r="Q115" s="19">
        <v>183.91822382800959</v>
      </c>
      <c r="R115" s="19">
        <v>112.49307208197325</v>
      </c>
      <c r="S115" s="19">
        <v>0.90227217667749926</v>
      </c>
      <c r="T115" s="19">
        <v>17.630812619834657</v>
      </c>
      <c r="U115" s="19">
        <v>81.448385083814728</v>
      </c>
      <c r="V115" s="19">
        <v>14.371182135827738</v>
      </c>
    </row>
    <row r="116" spans="1:22" x14ac:dyDescent="0.25">
      <c r="A116" s="19" t="s">
        <v>217</v>
      </c>
      <c r="B116" s="19">
        <v>0.94942382220211996</v>
      </c>
      <c r="D116" s="19" t="s">
        <v>236</v>
      </c>
      <c r="E116" s="19">
        <v>142.50300556164282</v>
      </c>
      <c r="F116">
        <f>B120*M114</f>
        <v>61.236306532131742</v>
      </c>
      <c r="H116" s="19" t="s">
        <v>236</v>
      </c>
      <c r="I116" s="19">
        <v>20.711506646749914</v>
      </c>
      <c r="K116" s="19" t="s">
        <v>235</v>
      </c>
      <c r="L116" s="19">
        <v>4.7328731800978092</v>
      </c>
      <c r="M116" s="19">
        <v>131.11563204225141</v>
      </c>
      <c r="N116" s="19">
        <v>0.77056006949173805</v>
      </c>
      <c r="O116" s="19">
        <v>1.3664464427018268</v>
      </c>
      <c r="P116" s="19">
        <v>0</v>
      </c>
      <c r="Q116" s="19">
        <v>32.330660500037233</v>
      </c>
      <c r="R116" s="19">
        <v>80.842553201247242</v>
      </c>
      <c r="S116" s="19">
        <v>0.24378325387728744</v>
      </c>
      <c r="T116" s="19">
        <v>0.99564902986520232</v>
      </c>
      <c r="U116" s="19">
        <v>1.5942545896010212</v>
      </c>
      <c r="V116" s="19">
        <v>3.7849801729780164</v>
      </c>
    </row>
    <row r="117" spans="1:22" x14ac:dyDescent="0.25">
      <c r="A117" s="19" t="s">
        <v>218</v>
      </c>
      <c r="B117" s="19">
        <v>0</v>
      </c>
      <c r="D117" s="19" t="s">
        <v>237</v>
      </c>
      <c r="E117" s="19">
        <v>61.792789609357477</v>
      </c>
      <c r="F117">
        <f>B128*U114</f>
        <v>0.57980454331757691</v>
      </c>
      <c r="H117" s="19" t="s">
        <v>237</v>
      </c>
      <c r="I117" s="19">
        <v>0.47153456504599234</v>
      </c>
      <c r="K117" s="19" t="s">
        <v>236</v>
      </c>
      <c r="L117" s="19">
        <v>17.75271953538055</v>
      </c>
      <c r="M117" s="19">
        <v>47.191121975994349</v>
      </c>
      <c r="N117" s="19">
        <v>1.087206337188966</v>
      </c>
      <c r="O117" s="19">
        <v>6.8221270767919364</v>
      </c>
      <c r="P117" s="19">
        <v>0</v>
      </c>
      <c r="Q117" s="19">
        <v>122.8588894565293</v>
      </c>
      <c r="R117" s="19">
        <v>5.6270885613413455</v>
      </c>
      <c r="S117" s="19">
        <v>0.36715204597761425</v>
      </c>
      <c r="T117" s="19">
        <v>11.615258288576108</v>
      </c>
      <c r="U117" s="19">
        <v>79.596032131247412</v>
      </c>
      <c r="V117" s="19">
        <v>8.2851363485684395</v>
      </c>
    </row>
    <row r="118" spans="1:22" x14ac:dyDescent="0.25">
      <c r="A118" s="19" t="s">
        <v>230</v>
      </c>
      <c r="B118" s="19">
        <v>0</v>
      </c>
      <c r="D118" s="19" t="s">
        <v>282</v>
      </c>
      <c r="E118" s="19">
        <v>25264.096238305116</v>
      </c>
      <c r="F118">
        <f>I113</f>
        <v>48.576113989509722</v>
      </c>
      <c r="H118" s="19" t="s">
        <v>238</v>
      </c>
      <c r="I118" s="19">
        <v>4172.1651839456144</v>
      </c>
      <c r="K118" s="19" t="s">
        <v>237</v>
      </c>
      <c r="L118" s="19">
        <v>1.3118102553359405</v>
      </c>
      <c r="M118" s="19">
        <v>54.715997951722734</v>
      </c>
      <c r="N118" s="19">
        <v>2.4752200603527428E-2</v>
      </c>
      <c r="O118" s="19">
        <v>5.2659597323084357</v>
      </c>
      <c r="P118" s="19">
        <v>0</v>
      </c>
      <c r="Q118" s="19">
        <v>28.728673871443053</v>
      </c>
      <c r="R118" s="19">
        <v>26.023430319384683</v>
      </c>
      <c r="S118" s="19">
        <v>0.29133687682259762</v>
      </c>
      <c r="T118" s="19">
        <v>5.0199053013933472</v>
      </c>
      <c r="U118" s="19">
        <v>0.25809836296631034</v>
      </c>
      <c r="V118" s="19">
        <v>2.3010656142812804</v>
      </c>
    </row>
    <row r="119" spans="1:22" x14ac:dyDescent="0.25">
      <c r="A119" s="19" t="s">
        <v>208</v>
      </c>
      <c r="B119" s="19">
        <v>0</v>
      </c>
      <c r="D119" s="19" t="s">
        <v>239</v>
      </c>
      <c r="E119" s="19"/>
      <c r="F119">
        <f>SUM(F115:F118)</f>
        <v>308.40019342532798</v>
      </c>
      <c r="H119" s="19" t="s">
        <v>239</v>
      </c>
      <c r="I119" s="19">
        <v>0</v>
      </c>
      <c r="K119" s="19" t="s">
        <v>282</v>
      </c>
      <c r="L119" s="19">
        <v>3243.4669431529601</v>
      </c>
      <c r="M119" s="19">
        <v>25177.035344118118</v>
      </c>
      <c r="N119" s="19">
        <v>219.00890674685118</v>
      </c>
      <c r="O119" s="19">
        <v>8822.8875871193304</v>
      </c>
      <c r="P119" s="19">
        <v>0</v>
      </c>
      <c r="Q119" s="19">
        <v>41447.371544601629</v>
      </c>
      <c r="R119" s="19">
        <v>11865.315171224745</v>
      </c>
      <c r="S119" s="19">
        <v>74.76957497739572</v>
      </c>
      <c r="T119" s="19">
        <v>5937.375948303863</v>
      </c>
      <c r="U119" s="19">
        <v>901.713848315257</v>
      </c>
      <c r="V119" s="19">
        <v>1127.5078318367762</v>
      </c>
    </row>
    <row r="120" spans="1:22" x14ac:dyDescent="0.25">
      <c r="A120" s="19" t="s">
        <v>219</v>
      </c>
      <c r="B120" s="19">
        <v>0.246199076881958</v>
      </c>
      <c r="D120" s="19" t="s">
        <v>240</v>
      </c>
      <c r="E120" s="19">
        <v>5867.606935701835</v>
      </c>
      <c r="H120" s="19" t="s">
        <v>240</v>
      </c>
      <c r="I120" s="19">
        <v>452.43120543321322</v>
      </c>
      <c r="K120" s="19" t="s">
        <v>283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>
        <v>0</v>
      </c>
      <c r="V120" s="19"/>
    </row>
    <row r="121" spans="1:22" x14ac:dyDescent="0.25">
      <c r="A121" s="19" t="s">
        <v>220</v>
      </c>
      <c r="B121" s="19">
        <v>0</v>
      </c>
      <c r="D121" s="19" t="s">
        <v>241</v>
      </c>
      <c r="E121" s="19">
        <v>20785.729008420563</v>
      </c>
      <c r="H121" s="19" t="s">
        <v>241</v>
      </c>
      <c r="I121" s="19">
        <v>1596.5181772762478</v>
      </c>
      <c r="K121" s="19" t="s">
        <v>240</v>
      </c>
      <c r="L121" s="19">
        <v>354.99696292609974</v>
      </c>
      <c r="M121" s="19">
        <v>4167.2682876335793</v>
      </c>
      <c r="N121" s="19">
        <v>23.749410512644669</v>
      </c>
      <c r="O121" s="19">
        <v>427.63572294108377</v>
      </c>
      <c r="P121" s="19">
        <v>0</v>
      </c>
      <c r="Q121" s="19">
        <v>4734.8648047894167</v>
      </c>
      <c r="R121" s="19">
        <v>1844.6882404163734</v>
      </c>
      <c r="S121" s="19">
        <v>9.6235679838101902</v>
      </c>
      <c r="T121" s="19">
        <v>1457.4319288751556</v>
      </c>
      <c r="U121" s="19">
        <v>2315.2117588653505</v>
      </c>
      <c r="V121" s="19">
        <v>434.80233163180435</v>
      </c>
    </row>
    <row r="122" spans="1:22" x14ac:dyDescent="0.25">
      <c r="A122" s="19" t="s">
        <v>221</v>
      </c>
      <c r="B122" s="19">
        <v>0</v>
      </c>
      <c r="D122" s="19" t="s">
        <v>274</v>
      </c>
      <c r="E122" s="19">
        <v>38505.797304125459</v>
      </c>
      <c r="H122" s="19" t="s">
        <v>242</v>
      </c>
      <c r="I122" s="19">
        <v>2542.0680953145761</v>
      </c>
      <c r="K122" s="19" t="s">
        <v>241</v>
      </c>
      <c r="L122" s="19">
        <v>1368.6201876490502</v>
      </c>
      <c r="M122" s="19">
        <v>13410.40553179547</v>
      </c>
      <c r="N122" s="19">
        <v>83.805814293306838</v>
      </c>
      <c r="O122" s="19">
        <v>1071.3357657961944</v>
      </c>
      <c r="P122" s="19">
        <v>0</v>
      </c>
      <c r="Q122" s="19">
        <v>12034.647938859411</v>
      </c>
      <c r="R122" s="19">
        <v>7775.7435770888915</v>
      </c>
      <c r="S122" s="19">
        <v>37.348343195129338</v>
      </c>
      <c r="T122" s="19">
        <v>2135.0757040544431</v>
      </c>
      <c r="U122" s="19">
        <v>5218.0089526915999</v>
      </c>
      <c r="V122" s="19">
        <v>890.37986784913471</v>
      </c>
    </row>
    <row r="123" spans="1:22" x14ac:dyDescent="0.25">
      <c r="A123" s="19" t="s">
        <v>222</v>
      </c>
      <c r="B123" s="19">
        <v>0</v>
      </c>
      <c r="D123" s="19" t="s">
        <v>243</v>
      </c>
      <c r="E123" s="19">
        <v>7393.6332466039121</v>
      </c>
      <c r="H123" s="19" t="s">
        <v>243</v>
      </c>
      <c r="I123" s="19">
        <v>311.79291820600935</v>
      </c>
      <c r="K123" s="19" t="s">
        <v>274</v>
      </c>
      <c r="L123" s="19">
        <v>2039.4870240845519</v>
      </c>
      <c r="M123" s="19">
        <v>35411.974134473232</v>
      </c>
      <c r="N123" s="19">
        <v>133.44043916889959</v>
      </c>
      <c r="O123" s="19">
        <v>6736.4914135342724</v>
      </c>
      <c r="P123" s="19">
        <v>0</v>
      </c>
      <c r="Q123" s="19">
        <v>18321.952506177564</v>
      </c>
      <c r="R123" s="19">
        <v>16281.579407785475</v>
      </c>
      <c r="S123" s="19">
        <v>78.617076856215832</v>
      </c>
      <c r="T123" s="19">
        <v>7564.6400254843857</v>
      </c>
      <c r="U123" s="19">
        <v>5810.4240074484387</v>
      </c>
      <c r="V123" s="19">
        <v>1369.4600582857056</v>
      </c>
    </row>
    <row r="124" spans="1:22" x14ac:dyDescent="0.25">
      <c r="A124" s="19" t="s">
        <v>223</v>
      </c>
      <c r="B124" s="19">
        <v>0</v>
      </c>
      <c r="D124" s="19" t="s">
        <v>244</v>
      </c>
      <c r="E124" s="19">
        <v>3200.9917801560596</v>
      </c>
      <c r="H124" s="19" t="s">
        <v>244</v>
      </c>
      <c r="I124" s="19">
        <v>176.79742037890256</v>
      </c>
      <c r="K124" s="19" t="s">
        <v>243</v>
      </c>
      <c r="L124" s="19">
        <v>161.02336125065659</v>
      </c>
      <c r="M124" s="19">
        <v>4917.8602946853152</v>
      </c>
      <c r="N124" s="19">
        <v>16.366903786664313</v>
      </c>
      <c r="O124" s="19">
        <v>1170.8026007412302</v>
      </c>
      <c r="P124" s="19">
        <v>0</v>
      </c>
      <c r="Q124" s="19">
        <v>42367.574012575184</v>
      </c>
      <c r="R124" s="19">
        <v>2941.9448765909965</v>
      </c>
      <c r="S124" s="19">
        <v>10.972692631602401</v>
      </c>
      <c r="T124" s="19">
        <v>1010.9862278990108</v>
      </c>
      <c r="U124" s="19">
        <v>232.03994299502523</v>
      </c>
      <c r="V124" s="19">
        <v>3730.3255245555451</v>
      </c>
    </row>
    <row r="125" spans="1:22" x14ac:dyDescent="0.25">
      <c r="A125" s="19" t="s">
        <v>224</v>
      </c>
      <c r="B125" s="19">
        <v>0</v>
      </c>
      <c r="D125" s="19" t="s">
        <v>245</v>
      </c>
      <c r="E125" s="19">
        <v>323241.43622939585</v>
      </c>
      <c r="H125" s="19" t="s">
        <v>245</v>
      </c>
      <c r="I125" s="19">
        <v>1606.8357833708076</v>
      </c>
      <c r="K125" s="19" t="s">
        <v>244</v>
      </c>
      <c r="L125" s="19">
        <v>106.25031205973384</v>
      </c>
      <c r="M125" s="19">
        <v>3578.6970223656863</v>
      </c>
      <c r="N125" s="19">
        <v>9.2806032469283082</v>
      </c>
      <c r="O125" s="19">
        <v>952.26946978646527</v>
      </c>
      <c r="P125" s="19">
        <v>0</v>
      </c>
      <c r="Q125" s="19">
        <v>5218.2372512416287</v>
      </c>
      <c r="R125" s="19">
        <v>2074.8602602857891</v>
      </c>
      <c r="S125" s="19">
        <v>6.2003636163939255</v>
      </c>
      <c r="T125" s="19">
        <v>847.53172234105546</v>
      </c>
      <c r="U125" s="19">
        <v>215.42234220210884</v>
      </c>
      <c r="V125" s="19">
        <v>1980.2379713747355</v>
      </c>
    </row>
    <row r="126" spans="1:22" x14ac:dyDescent="0.25">
      <c r="A126" s="19" t="s">
        <v>225</v>
      </c>
      <c r="B126" s="19">
        <v>0</v>
      </c>
      <c r="D126" s="19" t="s">
        <v>246</v>
      </c>
      <c r="E126" s="19">
        <v>278.0002904153398</v>
      </c>
      <c r="H126" s="19" t="s">
        <v>246</v>
      </c>
      <c r="I126" s="19">
        <v>9.860869689255308</v>
      </c>
      <c r="K126" s="19" t="s">
        <v>245</v>
      </c>
      <c r="L126" s="19">
        <v>665.21480732884527</v>
      </c>
      <c r="M126" s="19">
        <v>28538.136035228505</v>
      </c>
      <c r="N126" s="19">
        <v>84.347415004541688</v>
      </c>
      <c r="O126" s="19">
        <v>11679.719423212895</v>
      </c>
      <c r="P126" s="19">
        <v>0</v>
      </c>
      <c r="Q126" s="19">
        <v>43407.105764546126</v>
      </c>
      <c r="R126" s="19">
        <v>13865.112807884243</v>
      </c>
      <c r="S126" s="19">
        <v>46.661440286976656</v>
      </c>
      <c r="T126" s="19">
        <v>9508.0264599664806</v>
      </c>
      <c r="U126" s="19">
        <v>200.45541894512172</v>
      </c>
      <c r="V126" s="19">
        <v>496.75720906166316</v>
      </c>
    </row>
    <row r="127" spans="1:22" x14ac:dyDescent="0.25">
      <c r="A127" s="19" t="s">
        <v>226</v>
      </c>
      <c r="B127" s="19">
        <v>0</v>
      </c>
      <c r="D127" s="19" t="s">
        <v>247</v>
      </c>
      <c r="E127" s="19">
        <v>625.95605398566818</v>
      </c>
      <c r="H127" s="19" t="s">
        <v>247</v>
      </c>
      <c r="I127" s="19">
        <v>48.650960415581693</v>
      </c>
      <c r="K127" s="19" t="s">
        <v>246</v>
      </c>
      <c r="L127" s="19">
        <v>10.896066506191671</v>
      </c>
      <c r="M127" s="19">
        <v>418.22810855351793</v>
      </c>
      <c r="N127" s="19">
        <v>0.51762530844347276</v>
      </c>
      <c r="O127" s="19">
        <v>69.43096936535899</v>
      </c>
      <c r="P127" s="19">
        <v>0</v>
      </c>
      <c r="Q127" s="19">
        <v>161.78370373569007</v>
      </c>
      <c r="R127" s="19">
        <v>181.50086005114329</v>
      </c>
      <c r="S127" s="19">
        <v>0.41780188521134204</v>
      </c>
      <c r="T127" s="19">
        <v>79.045549182238219</v>
      </c>
      <c r="U127" s="19">
        <v>31.046485308447604</v>
      </c>
      <c r="V127" s="19">
        <v>40.279128692559425</v>
      </c>
    </row>
    <row r="128" spans="1:22" x14ac:dyDescent="0.25">
      <c r="A128" s="19" t="s">
        <v>227</v>
      </c>
      <c r="B128" s="19">
        <v>7.0000000000000001E-3</v>
      </c>
      <c r="D128" s="19" t="s">
        <v>248</v>
      </c>
      <c r="E128" s="19">
        <v>38496.271514698972</v>
      </c>
      <c r="H128" s="19" t="s">
        <v>248</v>
      </c>
      <c r="I128" s="19">
        <v>5394.1958437942003</v>
      </c>
      <c r="K128" s="19" t="s">
        <v>247</v>
      </c>
      <c r="L128" s="19">
        <v>32.882342937591638</v>
      </c>
      <c r="M128" s="19">
        <v>891.3870035130476</v>
      </c>
      <c r="N128" s="19">
        <v>2.5538283320614972</v>
      </c>
      <c r="O128" s="19">
        <v>171.56545762859875</v>
      </c>
      <c r="P128" s="19">
        <v>0</v>
      </c>
      <c r="Q128" s="19">
        <v>306.49019220597347</v>
      </c>
      <c r="R128" s="19">
        <v>360.12903626959468</v>
      </c>
      <c r="S128" s="19">
        <v>1.133418619523614</v>
      </c>
      <c r="T128" s="19">
        <v>199.83382647411855</v>
      </c>
      <c r="U128" s="19">
        <v>79.876552832796918</v>
      </c>
      <c r="V128" s="19">
        <v>109.94688847084464</v>
      </c>
    </row>
    <row r="129" spans="1:22" x14ac:dyDescent="0.25">
      <c r="A129" s="19" t="s">
        <v>228</v>
      </c>
      <c r="B129" s="19">
        <v>0</v>
      </c>
      <c r="D129" s="19" t="s">
        <v>249</v>
      </c>
      <c r="E129" s="19">
        <v>532.83320189496396</v>
      </c>
      <c r="H129" s="19" t="s">
        <v>249</v>
      </c>
      <c r="I129" s="19">
        <v>59.571713769168568</v>
      </c>
      <c r="K129" s="19" t="s">
        <v>248</v>
      </c>
      <c r="L129" s="19">
        <v>3530.6684886303738</v>
      </c>
      <c r="M129" s="19">
        <v>32573.984161660923</v>
      </c>
      <c r="N129" s="19">
        <v>283.15679807541767</v>
      </c>
      <c r="O129" s="19">
        <v>1705.6844495828359</v>
      </c>
      <c r="P129" s="19">
        <v>0</v>
      </c>
      <c r="Q129" s="19">
        <v>26196.599982301133</v>
      </c>
      <c r="R129" s="19">
        <v>15148.24790585902</v>
      </c>
      <c r="S129" s="19">
        <v>117.27222242750337</v>
      </c>
      <c r="T129" s="19">
        <v>2350.5088424881314</v>
      </c>
      <c r="U129" s="19">
        <v>11973.296304909058</v>
      </c>
      <c r="V129" s="19">
        <v>2029.0940206651874</v>
      </c>
    </row>
    <row r="130" spans="1:22" x14ac:dyDescent="0.25">
      <c r="D130" s="19" t="s">
        <v>250</v>
      </c>
      <c r="E130" s="19">
        <v>21096848.83354976</v>
      </c>
      <c r="H130" s="19" t="s">
        <v>250</v>
      </c>
      <c r="I130" s="19">
        <v>2713628.3293485646</v>
      </c>
      <c r="K130" s="19" t="s">
        <v>249</v>
      </c>
      <c r="L130" s="19">
        <v>45.778154239618431</v>
      </c>
      <c r="M130" s="19">
        <v>329.34252426402043</v>
      </c>
      <c r="N130" s="19">
        <v>3.1270899713715692</v>
      </c>
      <c r="O130" s="19">
        <v>25.516983964296376</v>
      </c>
      <c r="P130" s="19">
        <v>0</v>
      </c>
      <c r="Q130" s="19">
        <v>391.78209235103287</v>
      </c>
      <c r="R130" s="19">
        <v>113.03767633984208</v>
      </c>
      <c r="S130" s="19">
        <v>1.3617745368724901</v>
      </c>
      <c r="T130" s="19">
        <v>30.809445731941938</v>
      </c>
      <c r="U130" s="19">
        <v>108.63367233203634</v>
      </c>
      <c r="V130" s="19">
        <v>46.768975292767877</v>
      </c>
    </row>
    <row r="131" spans="1:22" x14ac:dyDescent="0.25">
      <c r="D131" s="19" t="s">
        <v>262</v>
      </c>
      <c r="E131" s="19">
        <v>21147799.496941168</v>
      </c>
      <c r="H131" s="19" t="s">
        <v>251</v>
      </c>
      <c r="I131" s="19">
        <v>0</v>
      </c>
      <c r="K131" s="19" t="s">
        <v>250</v>
      </c>
      <c r="L131" s="19">
        <v>1615110.9732765052</v>
      </c>
      <c r="M131" s="19">
        <v>20523543.027214054</v>
      </c>
      <c r="N131" s="19">
        <v>142446.12749629337</v>
      </c>
      <c r="O131" s="19">
        <v>966037.14381534699</v>
      </c>
      <c r="P131" s="19">
        <v>0</v>
      </c>
      <c r="Q131" s="19">
        <v>13325440.875454975</v>
      </c>
      <c r="R131" s="19">
        <v>10714973.637902632</v>
      </c>
      <c r="S131" s="19">
        <v>70034.455952252756</v>
      </c>
      <c r="T131" s="19">
        <v>1214127.7565481463</v>
      </c>
      <c r="U131" s="19">
        <v>3808989.2480363226</v>
      </c>
      <c r="V131" s="19">
        <v>1548465.1141099799</v>
      </c>
    </row>
    <row r="132" spans="1:22" x14ac:dyDescent="0.25">
      <c r="D132" s="19" t="s">
        <v>263</v>
      </c>
      <c r="E132" s="19">
        <v>22440451.852196522</v>
      </c>
      <c r="H132" s="19" t="s">
        <v>240</v>
      </c>
      <c r="I132" s="19">
        <v>24.682197628172638</v>
      </c>
      <c r="K132" s="19" t="s">
        <v>284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1:22" x14ac:dyDescent="0.25">
      <c r="D133" s="19" t="s">
        <v>251</v>
      </c>
      <c r="E133" s="19"/>
      <c r="H133" s="19" t="s">
        <v>241</v>
      </c>
      <c r="I133" s="19">
        <v>266.04621634107258</v>
      </c>
      <c r="K133" s="19" t="s">
        <v>240</v>
      </c>
      <c r="L133" s="19">
        <v>16.819508538523312</v>
      </c>
      <c r="M133" s="19">
        <v>187.60250267238737</v>
      </c>
      <c r="N133" s="19">
        <v>1.2956392856774954</v>
      </c>
      <c r="O133" s="19">
        <v>27.782309420862646</v>
      </c>
      <c r="P133" s="19">
        <v>0</v>
      </c>
      <c r="Q133" s="19">
        <v>167.9345612692768</v>
      </c>
      <c r="R133" s="19">
        <v>73.96441695104258</v>
      </c>
      <c r="S133" s="19">
        <v>1.0347431113062917</v>
      </c>
      <c r="T133" s="19">
        <v>30.89696677164455</v>
      </c>
      <c r="U133" s="19">
        <v>163.99774328092229</v>
      </c>
      <c r="V133" s="19">
        <v>13.780300807919382</v>
      </c>
    </row>
    <row r="134" spans="1:22" x14ac:dyDescent="0.25">
      <c r="D134" s="19" t="s">
        <v>240</v>
      </c>
      <c r="E134" s="19">
        <v>249.52623884957003</v>
      </c>
      <c r="H134" s="19" t="s">
        <v>242</v>
      </c>
      <c r="I134" s="19">
        <v>547.57280597558508</v>
      </c>
      <c r="K134" s="19" t="s">
        <v>241</v>
      </c>
      <c r="L134" s="19">
        <v>110.45755460663862</v>
      </c>
      <c r="M134" s="19">
        <v>665.43095889416702</v>
      </c>
      <c r="N134" s="19">
        <v>13.965528308707079</v>
      </c>
      <c r="O134" s="19">
        <v>69.141732028444935</v>
      </c>
      <c r="P134" s="19">
        <v>0</v>
      </c>
      <c r="Q134" s="19">
        <v>759.47067166078932</v>
      </c>
      <c r="R134" s="19">
        <v>141.57344373969002</v>
      </c>
      <c r="S134" s="19">
        <v>4.8011708208070392</v>
      </c>
      <c r="T134" s="19">
        <v>80.166750806498314</v>
      </c>
      <c r="U134" s="19">
        <v>206.84233358719254</v>
      </c>
      <c r="V134" s="19">
        <v>79.824429563712272</v>
      </c>
    </row>
    <row r="135" spans="1:22" x14ac:dyDescent="0.25">
      <c r="D135" s="19" t="s">
        <v>241</v>
      </c>
      <c r="E135" s="19">
        <v>1052.8553357328722</v>
      </c>
      <c r="H135" s="19" t="s">
        <v>243</v>
      </c>
      <c r="I135" s="19">
        <v>61.129831722876126</v>
      </c>
      <c r="K135" s="19" t="s">
        <v>242</v>
      </c>
      <c r="L135" s="19">
        <v>197.1596559427399</v>
      </c>
      <c r="M135" s="19">
        <v>1441.0360573423047</v>
      </c>
      <c r="N135" s="19">
        <v>28.743665773944052</v>
      </c>
      <c r="O135" s="19">
        <v>338.54099449220104</v>
      </c>
      <c r="P135" s="19">
        <v>0</v>
      </c>
      <c r="Q135" s="19">
        <v>1384.7485226135157</v>
      </c>
      <c r="R135" s="19">
        <v>325.95545252194449</v>
      </c>
      <c r="S135" s="19">
        <v>9.6944999493199315</v>
      </c>
      <c r="T135" s="19">
        <v>383.99092099034789</v>
      </c>
      <c r="U135" s="19">
        <v>270.8932961119167</v>
      </c>
      <c r="V135" s="19">
        <v>155.70021090186319</v>
      </c>
    </row>
    <row r="136" spans="1:22" x14ac:dyDescent="0.25">
      <c r="D136" s="19" t="s">
        <v>242</v>
      </c>
      <c r="E136" s="19">
        <v>2078.8456086348951</v>
      </c>
      <c r="H136" s="19" t="s">
        <v>244</v>
      </c>
      <c r="I136" s="19">
        <v>51.059124603155411</v>
      </c>
      <c r="K136" s="19" t="s">
        <v>243</v>
      </c>
      <c r="L136" s="19">
        <v>17.902732441232306</v>
      </c>
      <c r="M136" s="19">
        <v>153.79537336010364</v>
      </c>
      <c r="N136" s="19">
        <v>3.2088800478856112</v>
      </c>
      <c r="O136" s="19">
        <v>29.293825667389367</v>
      </c>
      <c r="P136" s="19">
        <v>0</v>
      </c>
      <c r="Q136" s="19">
        <v>121.45600504125237</v>
      </c>
      <c r="R136" s="19">
        <v>36.721019864514005</v>
      </c>
      <c r="S136" s="19">
        <v>1.1265563562765475</v>
      </c>
      <c r="T136" s="19">
        <v>31.795812787188908</v>
      </c>
      <c r="U136" s="19">
        <v>10.76914132992526</v>
      </c>
      <c r="V136" s="19">
        <v>16.751842965263908</v>
      </c>
    </row>
    <row r="137" spans="1:22" x14ac:dyDescent="0.25">
      <c r="D137" s="19" t="s">
        <v>243</v>
      </c>
      <c r="E137" s="19">
        <v>196.6520322647516</v>
      </c>
      <c r="H137" s="19" t="s">
        <v>245</v>
      </c>
      <c r="I137" s="19">
        <v>539.06003540400695</v>
      </c>
      <c r="K137" s="19" t="s">
        <v>244</v>
      </c>
      <c r="L137" s="19">
        <v>14.987199657883535</v>
      </c>
      <c r="M137" s="19">
        <v>124.53094788204685</v>
      </c>
      <c r="N137" s="19">
        <v>2.6802397713824755</v>
      </c>
      <c r="O137" s="19">
        <v>26.357718917692409</v>
      </c>
      <c r="P137" s="19">
        <v>0</v>
      </c>
      <c r="Q137" s="19">
        <v>100.00011476972396</v>
      </c>
      <c r="R137" s="19">
        <v>30.041953887656849</v>
      </c>
      <c r="S137" s="19">
        <v>0.94508936903506979</v>
      </c>
      <c r="T137" s="19">
        <v>28.780107024709864</v>
      </c>
      <c r="U137" s="19">
        <v>9.3596459271354071</v>
      </c>
      <c r="V137" s="19">
        <v>14.021021631412735</v>
      </c>
    </row>
    <row r="138" spans="1:22" x14ac:dyDescent="0.25">
      <c r="D138" s="19" t="s">
        <v>244</v>
      </c>
      <c r="E138" s="19">
        <v>163.65962060836608</v>
      </c>
      <c r="H138" s="19" t="s">
        <v>246</v>
      </c>
      <c r="I138" s="19">
        <v>2.369771070913731</v>
      </c>
      <c r="K138" s="19" t="s">
        <v>245</v>
      </c>
      <c r="L138" s="19">
        <v>153.64555829493946</v>
      </c>
      <c r="M138" s="19">
        <v>1479.9074016262368</v>
      </c>
      <c r="N138" s="19">
        <v>28.296806051456997</v>
      </c>
      <c r="O138" s="19">
        <v>221.14465713717448</v>
      </c>
      <c r="P138" s="19">
        <v>0</v>
      </c>
      <c r="Q138" s="19">
        <v>1104.5231831039175</v>
      </c>
      <c r="R138" s="19">
        <v>306.01157595198873</v>
      </c>
      <c r="S138" s="19">
        <v>9.1417855801187198</v>
      </c>
      <c r="T138" s="19">
        <v>240.9300392523038</v>
      </c>
      <c r="U138" s="19">
        <v>59.858688592911207</v>
      </c>
      <c r="V138" s="19">
        <v>140.5112017146291</v>
      </c>
    </row>
    <row r="139" spans="1:22" x14ac:dyDescent="0.25">
      <c r="D139" s="19" t="s">
        <v>245</v>
      </c>
      <c r="E139" s="19">
        <v>1701.0556050415971</v>
      </c>
      <c r="H139" s="19" t="s">
        <v>247</v>
      </c>
      <c r="I139" s="19">
        <v>13.801705229422398</v>
      </c>
      <c r="K139" s="19" t="s">
        <v>246</v>
      </c>
      <c r="L139" s="19">
        <v>0.7418151197519538</v>
      </c>
      <c r="M139" s="19">
        <v>7.5999658737983955</v>
      </c>
      <c r="N139" s="19">
        <v>0.12439607460371738</v>
      </c>
      <c r="O139" s="19">
        <v>3.3928848807404841</v>
      </c>
      <c r="P139" s="19">
        <v>0</v>
      </c>
      <c r="Q139" s="19">
        <v>5.828942121805019</v>
      </c>
      <c r="R139" s="19">
        <v>2.2964365872683232</v>
      </c>
      <c r="S139" s="19">
        <v>5.1075413100464449E-2</v>
      </c>
      <c r="T139" s="19">
        <v>3.8951611893524927</v>
      </c>
      <c r="U139" s="19">
        <v>0.42906066654757502</v>
      </c>
      <c r="V139" s="19">
        <v>0.72610277168489079</v>
      </c>
    </row>
    <row r="140" spans="1:22" s="21" customFormat="1" ht="15.75" thickBot="1" x14ac:dyDescent="0.3">
      <c r="A140"/>
      <c r="B140"/>
      <c r="C140"/>
      <c r="D140" s="19" t="s">
        <v>246</v>
      </c>
      <c r="E140" s="19">
        <v>9.763468369527688</v>
      </c>
      <c r="F140"/>
      <c r="G140"/>
      <c r="H140"/>
      <c r="I140"/>
      <c r="J140"/>
      <c r="K140" s="19" t="s">
        <v>247</v>
      </c>
      <c r="L140" s="19">
        <v>4.0241307723090278</v>
      </c>
      <c r="M140" s="19">
        <v>19.565453346296266</v>
      </c>
      <c r="N140" s="19">
        <v>0.72449105926327095</v>
      </c>
      <c r="O140" s="19">
        <v>9.4516912755907523</v>
      </c>
      <c r="P140" s="19">
        <v>0</v>
      </c>
      <c r="Q140" s="19">
        <v>20.427037529187793</v>
      </c>
      <c r="R140" s="19">
        <v>4.6586580249022109</v>
      </c>
      <c r="S140" s="19">
        <v>0.24476920728150681</v>
      </c>
      <c r="T140" s="19">
        <v>10.539283373983094</v>
      </c>
      <c r="U140" s="19">
        <v>1.8873022575273661</v>
      </c>
      <c r="V140" s="19">
        <v>3.7113559245974508</v>
      </c>
    </row>
    <row r="141" spans="1:22" x14ac:dyDescent="0.25">
      <c r="D141" s="19" t="s">
        <v>247</v>
      </c>
      <c r="E141" s="19">
        <v>35.586623611353716</v>
      </c>
    </row>
    <row r="142" spans="1:22" s="21" customFormat="1" ht="15.75" thickBot="1" x14ac:dyDescent="0.3"/>
    <row r="144" spans="1:22" x14ac:dyDescent="0.25">
      <c r="A144" t="s">
        <v>267</v>
      </c>
    </row>
    <row r="145" spans="1:20" x14ac:dyDescent="0.25">
      <c r="A145" s="19"/>
      <c r="B145" s="19" t="s">
        <v>60</v>
      </c>
      <c r="C145" s="19" t="s">
        <v>61</v>
      </c>
      <c r="D145" s="19" t="s">
        <v>62</v>
      </c>
      <c r="E145" s="19" t="s">
        <v>5</v>
      </c>
      <c r="F145" s="19" t="s">
        <v>268</v>
      </c>
      <c r="G145" s="19" t="s">
        <v>64</v>
      </c>
      <c r="H145" s="19" t="s">
        <v>7</v>
      </c>
      <c r="I145" s="19" t="s">
        <v>112</v>
      </c>
      <c r="J145" s="19" t="s">
        <v>113</v>
      </c>
      <c r="K145" s="19" t="s">
        <v>10</v>
      </c>
      <c r="L145" s="19" t="s">
        <v>11</v>
      </c>
      <c r="M145" s="19" t="s">
        <v>269</v>
      </c>
      <c r="N145" s="19" t="s">
        <v>114</v>
      </c>
      <c r="O145" s="19" t="s">
        <v>17</v>
      </c>
      <c r="P145" s="19" t="s">
        <v>270</v>
      </c>
      <c r="Q145" s="19" t="s">
        <v>271</v>
      </c>
      <c r="R145" s="19" t="s">
        <v>66</v>
      </c>
      <c r="S145" s="19" t="s">
        <v>67</v>
      </c>
      <c r="T145" s="19" t="s">
        <v>68</v>
      </c>
    </row>
    <row r="146" spans="1:20" x14ac:dyDescent="0.25">
      <c r="A146" s="19" t="s">
        <v>272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1:20" x14ac:dyDescent="0.25">
      <c r="A147" s="19" t="s">
        <v>233</v>
      </c>
      <c r="B147" s="19">
        <v>4.2403736024412948E-2</v>
      </c>
      <c r="C147" s="19">
        <v>0.31738756757000314</v>
      </c>
      <c r="D147" s="19">
        <v>1.5024859212790093E-2</v>
      </c>
      <c r="E147" s="19">
        <v>2.529241569205385E-2</v>
      </c>
      <c r="F147" s="19">
        <v>5.0551003579610308E-2</v>
      </c>
      <c r="G147" s="19">
        <v>2.0701355970048865E-2</v>
      </c>
      <c r="H147" s="19">
        <v>7.3180321672021126E-2</v>
      </c>
      <c r="I147" s="19">
        <v>4.2926784482648058E-3</v>
      </c>
      <c r="J147" s="19">
        <v>1.5778523924572917E-2</v>
      </c>
      <c r="K147" s="19">
        <v>3.1975325941955714E-2</v>
      </c>
      <c r="L147" s="19">
        <v>3.289092681365955E-2</v>
      </c>
      <c r="M147" s="19">
        <v>3.6829339757375262E-2</v>
      </c>
      <c r="N147" s="19">
        <v>3.1769896472854005E-2</v>
      </c>
      <c r="O147" s="19">
        <v>1.1983263369553422E-2</v>
      </c>
      <c r="P147" s="19">
        <v>5.7242512774149535E-3</v>
      </c>
      <c r="Q147" s="19">
        <v>2.3239264795837784E-2</v>
      </c>
      <c r="R147" s="19">
        <v>1.1149298140806367E-2</v>
      </c>
      <c r="S147" s="19">
        <v>9.7419452774303358E-3</v>
      </c>
      <c r="T147" s="19">
        <v>0.16438383534417089</v>
      </c>
    </row>
    <row r="148" spans="1:20" x14ac:dyDescent="0.25">
      <c r="A148" s="19" t="s">
        <v>234</v>
      </c>
      <c r="B148" s="19">
        <v>3.992593956052469E-2</v>
      </c>
      <c r="C148" s="19">
        <v>0.26356323579943375</v>
      </c>
      <c r="D148" s="19">
        <v>1.2916206067991222E-2</v>
      </c>
      <c r="E148" s="19">
        <v>1.9665277127219508E-2</v>
      </c>
      <c r="F148" s="19">
        <v>3.514013871169111E-2</v>
      </c>
      <c r="G148" s="19">
        <v>1.5039581480852346E-2</v>
      </c>
      <c r="H148" s="19">
        <v>5.4423586013723581E-2</v>
      </c>
      <c r="I148" s="19">
        <v>4.1480530756163991E-3</v>
      </c>
      <c r="J148" s="19">
        <v>1.5265012400340549E-2</v>
      </c>
      <c r="K148" s="19">
        <v>3.1014866513420062E-2</v>
      </c>
      <c r="L148" s="19">
        <v>3.1403359459909824E-2</v>
      </c>
      <c r="M148" s="19">
        <v>3.5453245233099624E-2</v>
      </c>
      <c r="N148" s="19">
        <v>3.0205603279825907E-2</v>
      </c>
      <c r="O148" s="19">
        <v>1.1013427303754805E-2</v>
      </c>
      <c r="P148" s="19">
        <v>4.6760218027143263E-3</v>
      </c>
      <c r="Q148" s="19">
        <v>2.2522863657004965E-2</v>
      </c>
      <c r="R148" s="19">
        <v>9.9311169848050607E-3</v>
      </c>
      <c r="S148" s="19">
        <v>9.581720258745742E-3</v>
      </c>
      <c r="T148" s="19">
        <v>0.13331064514722582</v>
      </c>
    </row>
    <row r="149" spans="1:20" x14ac:dyDescent="0.25">
      <c r="A149" s="19" t="s">
        <v>235</v>
      </c>
      <c r="B149" s="19">
        <v>5.4538109741785875E-3</v>
      </c>
      <c r="C149" s="19">
        <v>0.18812826576932584</v>
      </c>
      <c r="D149" s="19">
        <v>2.4345250264273424E-3</v>
      </c>
      <c r="E149" s="19">
        <v>6.3053565367288166E-3</v>
      </c>
      <c r="F149" s="19">
        <v>1.4511422411372984E-2</v>
      </c>
      <c r="G149" s="19">
        <v>5.4807299135956489E-3</v>
      </c>
      <c r="H149" s="19">
        <v>2.1656201693706308E-2</v>
      </c>
      <c r="I149" s="19">
        <v>1.669032826991936E-4</v>
      </c>
      <c r="J149" s="19">
        <v>5.926061054944519E-4</v>
      </c>
      <c r="K149" s="19">
        <v>1.103467363637981E-3</v>
      </c>
      <c r="L149" s="19">
        <v>1.7177350610192682E-3</v>
      </c>
      <c r="M149" s="19">
        <v>1.7911339310034205E-3</v>
      </c>
      <c r="N149" s="19">
        <v>1.8117898252399734E-3</v>
      </c>
      <c r="O149" s="19">
        <v>7.9242999661472344E-3</v>
      </c>
      <c r="P149" s="19">
        <v>1.3473000740131403E-3</v>
      </c>
      <c r="Q149" s="19">
        <v>8.2450835284431946E-4</v>
      </c>
      <c r="R149" s="19">
        <v>1.4388994545917564E-3</v>
      </c>
      <c r="S149" s="19">
        <v>1.8479968292764321E-4</v>
      </c>
      <c r="T149" s="19">
        <v>3.5877203963808023E-2</v>
      </c>
    </row>
    <row r="150" spans="1:20" x14ac:dyDescent="0.25">
      <c r="A150" s="19" t="s">
        <v>236</v>
      </c>
      <c r="B150" s="19">
        <v>1.8633954539435445E-2</v>
      </c>
      <c r="C150" s="19">
        <v>5.8509664769068923E-2</v>
      </c>
      <c r="D150" s="19">
        <v>9.9654115661836126E-3</v>
      </c>
      <c r="E150" s="19">
        <v>9.5336187949735928E-3</v>
      </c>
      <c r="F150" s="19">
        <v>1.6061289058448537E-2</v>
      </c>
      <c r="G150" s="19">
        <v>8.0318709606196706E-3</v>
      </c>
      <c r="H150" s="19">
        <v>3.0796830896442352E-2</v>
      </c>
      <c r="I150" s="19">
        <v>3.7063951522316855E-3</v>
      </c>
      <c r="J150" s="19">
        <v>1.3676770692854513E-2</v>
      </c>
      <c r="K150" s="19">
        <v>1.1786397120884801E-2</v>
      </c>
      <c r="L150" s="19">
        <v>2.7532105127160842E-2</v>
      </c>
      <c r="M150" s="19">
        <v>2.3091698176984483E-2</v>
      </c>
      <c r="N150" s="19">
        <v>1.5682215280078789E-2</v>
      </c>
      <c r="O150" s="19">
        <v>3.1569345276177487E-3</v>
      </c>
      <c r="P150" s="19">
        <v>3.2895450683335867E-3</v>
      </c>
      <c r="Q150" s="19">
        <v>1.2925316696334671E-2</v>
      </c>
      <c r="R150" s="19">
        <v>8.1710514122927159E-3</v>
      </c>
      <c r="S150" s="19">
        <v>8.7421270818391194E-3</v>
      </c>
      <c r="T150" s="19">
        <v>9.6272342735414851E-2</v>
      </c>
    </row>
    <row r="151" spans="1:20" x14ac:dyDescent="0.25">
      <c r="A151" s="19" t="s">
        <v>237</v>
      </c>
      <c r="B151" s="19">
        <v>1.5838174046910646E-2</v>
      </c>
      <c r="C151" s="19">
        <v>1.6925305261038987E-2</v>
      </c>
      <c r="D151" s="19">
        <v>5.1626947538026811E-4</v>
      </c>
      <c r="E151" s="19">
        <v>3.8263017955170965E-3</v>
      </c>
      <c r="F151" s="19">
        <v>4.5674272418695832E-3</v>
      </c>
      <c r="G151" s="19">
        <v>1.5269806066370278E-3</v>
      </c>
      <c r="H151" s="19">
        <v>1.9705534235749177E-3</v>
      </c>
      <c r="I151" s="19">
        <v>2.7475464068551993E-4</v>
      </c>
      <c r="J151" s="19">
        <v>9.9563560199158216E-4</v>
      </c>
      <c r="K151" s="19">
        <v>1.8125002028897278E-2</v>
      </c>
      <c r="L151" s="19">
        <v>2.1535192717297086E-3</v>
      </c>
      <c r="M151" s="19">
        <v>1.0570413125111722E-2</v>
      </c>
      <c r="N151" s="19">
        <v>1.2711598174507149E-2</v>
      </c>
      <c r="O151" s="19">
        <v>-6.7807190010179516E-5</v>
      </c>
      <c r="P151" s="19">
        <v>3.917666036759932E-5</v>
      </c>
      <c r="Q151" s="19">
        <v>8.7730386078259757E-3</v>
      </c>
      <c r="R151" s="19">
        <v>3.2116611792058807E-4</v>
      </c>
      <c r="S151" s="19">
        <v>6.5479349397898053E-4</v>
      </c>
      <c r="T151" s="19">
        <v>1.161098448002937E-3</v>
      </c>
    </row>
    <row r="152" spans="1:20" x14ac:dyDescent="0.25">
      <c r="A152" s="19" t="s">
        <v>238</v>
      </c>
      <c r="B152" s="19">
        <v>1.1558742570416611</v>
      </c>
      <c r="C152" s="19">
        <v>38.731872256657134</v>
      </c>
      <c r="D152" s="19">
        <v>0.71879507646972418</v>
      </c>
      <c r="E152" s="19">
        <v>2.9290601613847476</v>
      </c>
      <c r="F152" s="19">
        <v>19.299001432804122</v>
      </c>
      <c r="G152" s="19">
        <v>6.4855165187446211</v>
      </c>
      <c r="H152" s="19">
        <v>6.3485369287349638</v>
      </c>
      <c r="I152" s="19">
        <v>0.10644086500326261</v>
      </c>
      <c r="J152" s="19">
        <v>0.38306050921228002</v>
      </c>
      <c r="K152" s="19">
        <v>0.83315913353233073</v>
      </c>
      <c r="L152" s="19">
        <v>0.94558755055715182</v>
      </c>
      <c r="M152" s="19">
        <v>0.73738721644247041</v>
      </c>
      <c r="N152" s="19">
        <v>0.87137146182119318</v>
      </c>
      <c r="O152" s="19">
        <v>0.3684587411413851</v>
      </c>
      <c r="P152" s="19">
        <v>0.34852710169820106</v>
      </c>
      <c r="Q152" s="19">
        <v>0.43059977061407928</v>
      </c>
      <c r="R152" s="19">
        <v>1.0602138364802007</v>
      </c>
      <c r="S152" s="19">
        <v>0.26897245395303571</v>
      </c>
      <c r="T152" s="19">
        <v>10.328002045670861</v>
      </c>
    </row>
    <row r="153" spans="1:20" x14ac:dyDescent="0.25">
      <c r="A153" s="19" t="s">
        <v>273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1:20" x14ac:dyDescent="0.25">
      <c r="A154" s="19" t="s">
        <v>240</v>
      </c>
      <c r="B154" s="19">
        <v>0.65416776834006929</v>
      </c>
      <c r="C154" s="19">
        <v>3.7499027626089192</v>
      </c>
      <c r="D154" s="19">
        <v>0.19486260724363616</v>
      </c>
      <c r="E154" s="19">
        <v>0.50095205865538406</v>
      </c>
      <c r="F154" s="19">
        <v>0.69790969049384999</v>
      </c>
      <c r="G154" s="19">
        <v>0.23121545618674916</v>
      </c>
      <c r="H154" s="19">
        <v>0.72987258046439918</v>
      </c>
      <c r="I154" s="19">
        <v>7.2628519596518656E-2</v>
      </c>
      <c r="J154" s="19">
        <v>0.26754548200159828</v>
      </c>
      <c r="K154" s="19">
        <v>0.31804529940723203</v>
      </c>
      <c r="L154" s="19">
        <v>0.5438338279675754</v>
      </c>
      <c r="M154" s="19">
        <v>0.58125936785846022</v>
      </c>
      <c r="N154" s="19">
        <v>0.59017474784762192</v>
      </c>
      <c r="O154" s="19">
        <v>1.1972658780787315</v>
      </c>
      <c r="P154" s="19">
        <v>0.20622989080592288</v>
      </c>
      <c r="Q154" s="19">
        <v>2.9272161014126379</v>
      </c>
      <c r="R154" s="19">
        <v>0.1691857287454519</v>
      </c>
      <c r="S154" s="19">
        <v>0.17024187493992129</v>
      </c>
      <c r="T154" s="19">
        <v>1.9266027372097383</v>
      </c>
    </row>
    <row r="155" spans="1:20" x14ac:dyDescent="0.25">
      <c r="A155" s="19" t="s">
        <v>241</v>
      </c>
      <c r="B155" s="19">
        <v>18.692739738132644</v>
      </c>
      <c r="C155" s="19">
        <v>12.761940016978315</v>
      </c>
      <c r="D155" s="19">
        <v>0.72750027993432531</v>
      </c>
      <c r="E155" s="19">
        <v>1.262344713309304</v>
      </c>
      <c r="F155" s="19">
        <v>1.6863866184956571</v>
      </c>
      <c r="G155" s="19">
        <v>0.75135147062775798</v>
      </c>
      <c r="H155" s="19">
        <v>2.500026874295362</v>
      </c>
      <c r="I155" s="19">
        <v>0.16285148517208461</v>
      </c>
      <c r="J155" s="19">
        <v>0.60661184365372889</v>
      </c>
      <c r="K155" s="19">
        <v>0.71677450977363111</v>
      </c>
      <c r="L155" s="19">
        <v>1.1797457447111674</v>
      </c>
      <c r="M155" s="19">
        <v>2.8094685142434006</v>
      </c>
      <c r="N155" s="19">
        <v>0.98390128404737609</v>
      </c>
      <c r="O155" s="19">
        <v>8.5942873907534612</v>
      </c>
      <c r="P155" s="19">
        <v>2.662115116778097</v>
      </c>
      <c r="Q155" s="19">
        <v>1.2442597470426076</v>
      </c>
      <c r="R155" s="19">
        <v>0.6095039891284536</v>
      </c>
      <c r="S155" s="19">
        <v>0.38606136694917464</v>
      </c>
      <c r="T155" s="19">
        <v>7.0134604909945395</v>
      </c>
    </row>
    <row r="156" spans="1:20" x14ac:dyDescent="0.25">
      <c r="A156" s="19" t="s">
        <v>274</v>
      </c>
      <c r="B156" s="19">
        <v>2.1896353994083704</v>
      </c>
      <c r="C156" s="19">
        <v>20.651405241631952</v>
      </c>
      <c r="D156" s="19">
        <v>1.063152568220354</v>
      </c>
      <c r="E156" s="19">
        <v>2.1392642056133884</v>
      </c>
      <c r="F156" s="19">
        <v>3.4613443476419445</v>
      </c>
      <c r="G156" s="19">
        <v>1.4036377792910182</v>
      </c>
      <c r="H156" s="19">
        <v>4.9619867945705254</v>
      </c>
      <c r="I156" s="19">
        <v>0.21036903325466919</v>
      </c>
      <c r="J156" s="19">
        <v>0.78335860108884348</v>
      </c>
      <c r="K156" s="19">
        <v>0.96142469428612842</v>
      </c>
      <c r="L156" s="19">
        <v>1.5357214790542484</v>
      </c>
      <c r="M156" s="19">
        <v>2.3562278263279293</v>
      </c>
      <c r="N156" s="19">
        <v>1.3664060157495741</v>
      </c>
      <c r="O156" s="19">
        <v>1.1485000862560792</v>
      </c>
      <c r="P156" s="19">
        <v>0.40240869329261136</v>
      </c>
      <c r="Q156" s="19">
        <v>2.4412361922815284</v>
      </c>
      <c r="R156" s="19">
        <v>1.9947271077129649</v>
      </c>
      <c r="S156" s="19">
        <v>0.4925045633278804</v>
      </c>
      <c r="T156" s="19">
        <v>10.259263230995849</v>
      </c>
    </row>
    <row r="157" spans="1:20" x14ac:dyDescent="0.25">
      <c r="A157" s="19" t="s">
        <v>243</v>
      </c>
      <c r="B157" s="19">
        <v>0.24021639256614291</v>
      </c>
      <c r="C157" s="19">
        <v>3.7379730999479301</v>
      </c>
      <c r="D157" s="19">
        <v>8.7926529391604974E-2</v>
      </c>
      <c r="E157" s="19">
        <v>0.34693161735867506</v>
      </c>
      <c r="F157" s="19">
        <v>0.73512419242862614</v>
      </c>
      <c r="G157" s="19">
        <v>0.41729858550061916</v>
      </c>
      <c r="H157" s="19">
        <v>0.55025542797564209</v>
      </c>
      <c r="I157" s="19">
        <v>9.7392556888791382E-3</v>
      </c>
      <c r="J157" s="19">
        <v>3.5972653618134259E-2</v>
      </c>
      <c r="K157" s="19">
        <v>6.7584204795539532E-2</v>
      </c>
      <c r="L157" s="19">
        <v>7.7578723919397227E-2</v>
      </c>
      <c r="M157" s="19">
        <v>0.50007303584273743</v>
      </c>
      <c r="N157" s="19">
        <v>8.3196620995197423E-2</v>
      </c>
      <c r="O157" s="19">
        <v>0.64676414832255658</v>
      </c>
      <c r="P157" s="19">
        <v>0.5001079677919843</v>
      </c>
      <c r="Q157" s="19">
        <v>0.31393015272900876</v>
      </c>
      <c r="R157" s="19">
        <v>0.69506611763306902</v>
      </c>
      <c r="S157" s="19">
        <v>1.9909576587735751E-2</v>
      </c>
      <c r="T157" s="19">
        <v>0.92649946216642953</v>
      </c>
    </row>
    <row r="158" spans="1:20" x14ac:dyDescent="0.25">
      <c r="A158" s="19" t="s">
        <v>244</v>
      </c>
      <c r="B158" s="19">
        <v>0.1479149074864472</v>
      </c>
      <c r="C158" s="19">
        <v>1.8112028750986235</v>
      </c>
      <c r="D158" s="19">
        <v>5.9426449127641633E-2</v>
      </c>
      <c r="E158" s="19">
        <v>0.2367788117303441</v>
      </c>
      <c r="F158" s="19">
        <v>0.79074645475619953</v>
      </c>
      <c r="G158" s="19">
        <v>0.25343768307829034</v>
      </c>
      <c r="H158" s="19">
        <v>0.34194353882256973</v>
      </c>
      <c r="I158" s="19">
        <v>7.9128100306850371E-3</v>
      </c>
      <c r="J158" s="19">
        <v>2.9465083379104619E-2</v>
      </c>
      <c r="K158" s="19">
        <v>5.3614375793901055E-2</v>
      </c>
      <c r="L158" s="19">
        <v>5.9507241569162657E-2</v>
      </c>
      <c r="M158" s="19">
        <v>0.13611494942306901</v>
      </c>
      <c r="N158" s="19">
        <v>6.4260366772864411E-2</v>
      </c>
      <c r="O158" s="19">
        <v>0.31223933143194998</v>
      </c>
      <c r="P158" s="19">
        <v>0.25462104194999213</v>
      </c>
      <c r="Q158" s="19">
        <v>0.18442796209879783</v>
      </c>
      <c r="R158" s="19">
        <v>0.36525109571444409</v>
      </c>
      <c r="S158" s="19">
        <v>1.7418700361621582E-2</v>
      </c>
      <c r="T158" s="19">
        <v>0.59640185471771745</v>
      </c>
    </row>
    <row r="159" spans="1:20" x14ac:dyDescent="0.25">
      <c r="A159" s="19" t="s">
        <v>245</v>
      </c>
      <c r="B159" s="19">
        <v>0.75412685462635998</v>
      </c>
      <c r="C159" s="19">
        <v>22.533561677251523</v>
      </c>
      <c r="D159" s="19">
        <v>0.31690388201401493</v>
      </c>
      <c r="E159" s="19">
        <v>1.9511901921089041</v>
      </c>
      <c r="F159" s="19">
        <v>9.02824046100781</v>
      </c>
      <c r="G159" s="19">
        <v>3.0403089038264737</v>
      </c>
      <c r="H159" s="19">
        <v>8.2813530743593802</v>
      </c>
      <c r="I159" s="19">
        <v>2.1467121722194282E-2</v>
      </c>
      <c r="J159" s="19">
        <v>7.6459145962898739E-2</v>
      </c>
      <c r="K159" s="19">
        <v>0.20643436720530162</v>
      </c>
      <c r="L159" s="19">
        <v>0.21326428809751471</v>
      </c>
      <c r="M159" s="19">
        <v>4.0519774927852614</v>
      </c>
      <c r="N159" s="19">
        <v>0.25547680977987458</v>
      </c>
      <c r="O159" s="19">
        <v>4.1296408886983835</v>
      </c>
      <c r="P159" s="19">
        <v>0.41304971817038671</v>
      </c>
      <c r="Q159" s="19">
        <v>1.0993599973037604</v>
      </c>
      <c r="R159" s="19">
        <v>0.61603591997467866</v>
      </c>
      <c r="S159" s="19">
        <v>2.7755260081471524E-2</v>
      </c>
      <c r="T159" s="19">
        <v>3.9272371446811327</v>
      </c>
    </row>
    <row r="160" spans="1:20" x14ac:dyDescent="0.25">
      <c r="A160" s="19" t="s">
        <v>246</v>
      </c>
      <c r="B160" s="19">
        <v>1.2655601440709771E-2</v>
      </c>
      <c r="C160" s="19">
        <v>8.8329002535967482E-2</v>
      </c>
      <c r="D160" s="19">
        <v>6.0685592185108677E-3</v>
      </c>
      <c r="E160" s="19">
        <v>1.1165703254617552E-2</v>
      </c>
      <c r="F160" s="19">
        <v>1.4179028608117424E-2</v>
      </c>
      <c r="G160" s="19">
        <v>6.3874455371259065E-3</v>
      </c>
      <c r="H160" s="19">
        <v>2.6251586837734053E-2</v>
      </c>
      <c r="I160" s="19">
        <v>8.2890523694623239E-4</v>
      </c>
      <c r="J160" s="19">
        <v>3.1542147973495781E-3</v>
      </c>
      <c r="K160" s="19">
        <v>5.4400925207341239E-3</v>
      </c>
      <c r="L160" s="19">
        <v>5.507149192666711E-3</v>
      </c>
      <c r="M160" s="19">
        <v>1.2491361901250239E-2</v>
      </c>
      <c r="N160" s="19">
        <v>8.0385844284413411E-3</v>
      </c>
      <c r="O160" s="19">
        <v>3.6416865709855348E-3</v>
      </c>
      <c r="P160" s="19">
        <v>1.7781239546661753E-3</v>
      </c>
      <c r="Q160" s="19">
        <v>1.6717358913380657E-2</v>
      </c>
      <c r="R160" s="19">
        <v>6.2525209734687216E-3</v>
      </c>
      <c r="S160" s="19">
        <v>2.034657179667615E-3</v>
      </c>
      <c r="T160" s="19">
        <v>5.1952520092253741E-2</v>
      </c>
    </row>
    <row r="161" spans="1:20" x14ac:dyDescent="0.25">
      <c r="A161" s="19" t="s">
        <v>247</v>
      </c>
      <c r="B161" s="19">
        <v>3.4406760838325688E-2</v>
      </c>
      <c r="C161" s="19">
        <v>0.21983325824512343</v>
      </c>
      <c r="D161" s="19">
        <v>1.848062112423713E-2</v>
      </c>
      <c r="E161" s="19">
        <v>3.4386218006003957E-2</v>
      </c>
      <c r="F161" s="19">
        <v>3.7169862706169919E-2</v>
      </c>
      <c r="G161" s="19">
        <v>1.7693583518453293E-2</v>
      </c>
      <c r="H161" s="19">
        <v>0.10421219659867846</v>
      </c>
      <c r="I161" s="19">
        <v>2.7094499871403517E-3</v>
      </c>
      <c r="J161" s="19">
        <v>1.0178530876314821E-2</v>
      </c>
      <c r="K161" s="19">
        <v>1.3803333652943273E-2</v>
      </c>
      <c r="L161" s="19">
        <v>1.9380559235366978E-2</v>
      </c>
      <c r="M161" s="19">
        <v>2.669398812197445E-2</v>
      </c>
      <c r="N161" s="19">
        <v>2.1791334546203814E-2</v>
      </c>
      <c r="O161" s="19">
        <v>1.0676715502746808E-2</v>
      </c>
      <c r="P161" s="19">
        <v>6.4453452203809807E-3</v>
      </c>
      <c r="Q161" s="19">
        <v>2.8104258484565825E-2</v>
      </c>
      <c r="R161" s="19">
        <v>1.6914568495047411E-2</v>
      </c>
      <c r="S161" s="19">
        <v>6.2403948080839641E-3</v>
      </c>
      <c r="T161" s="19">
        <v>0.18915257819863485</v>
      </c>
    </row>
    <row r="162" spans="1:20" x14ac:dyDescent="0.25">
      <c r="A162" s="19" t="s">
        <v>248</v>
      </c>
      <c r="B162" s="19">
        <v>82.827668291930109</v>
      </c>
      <c r="C162" s="19">
        <v>50.230236853864334</v>
      </c>
      <c r="D162" s="19">
        <v>1.931046919907607</v>
      </c>
      <c r="E162" s="19">
        <v>2.7463703967292772</v>
      </c>
      <c r="F162" s="19">
        <v>5.5028253996464267</v>
      </c>
      <c r="G162" s="19">
        <v>2.33452194424558</v>
      </c>
      <c r="H162" s="19">
        <v>8.1074722977681226</v>
      </c>
      <c r="I162" s="19">
        <v>0.5310991738427927</v>
      </c>
      <c r="J162" s="19">
        <v>1.9602214647190912</v>
      </c>
      <c r="K162" s="19">
        <v>3.2840926303049689</v>
      </c>
      <c r="L162" s="19">
        <v>3.9954180277806444</v>
      </c>
      <c r="M162" s="19">
        <v>7.0776357971438228</v>
      </c>
      <c r="N162" s="19">
        <v>3.5686986150889219</v>
      </c>
      <c r="O162" s="19">
        <v>1.6589699043034376</v>
      </c>
      <c r="P162" s="19">
        <v>0.68678165746930298</v>
      </c>
      <c r="Q162" s="19">
        <v>2.8565004987206102</v>
      </c>
      <c r="R162" s="19">
        <v>1.4912046151517391</v>
      </c>
      <c r="S162" s="19">
        <v>1.2243713296822885</v>
      </c>
      <c r="T162" s="19">
        <v>20.165531305010699</v>
      </c>
    </row>
    <row r="163" spans="1:20" x14ac:dyDescent="0.25">
      <c r="A163" s="19" t="s">
        <v>249</v>
      </c>
      <c r="B163" s="19">
        <v>3.5543274252760639E-2</v>
      </c>
      <c r="C163" s="19">
        <v>0.56138800969386826</v>
      </c>
      <c r="D163" s="19">
        <v>2.3211563387023206E-2</v>
      </c>
      <c r="E163" s="19">
        <v>0.48251745962359904</v>
      </c>
      <c r="F163" s="19">
        <v>5.5961171901267454E-2</v>
      </c>
      <c r="G163" s="19">
        <v>2.4237547605689254E-2</v>
      </c>
      <c r="H163" s="19">
        <v>9.0820232267995848E-2</v>
      </c>
      <c r="I163" s="19">
        <v>2.510559831285251E-3</v>
      </c>
      <c r="J163" s="19">
        <v>9.5494911262869915E-3</v>
      </c>
      <c r="K163" s="19">
        <v>1.3451953602290807E-2</v>
      </c>
      <c r="L163" s="19">
        <v>1.7452265841010856E-2</v>
      </c>
      <c r="M163" s="19">
        <v>0.10897398226626706</v>
      </c>
      <c r="N163" s="19">
        <v>2.474978445053997E-2</v>
      </c>
      <c r="O163" s="19">
        <v>1.0070277425977409E-2</v>
      </c>
      <c r="P163" s="19">
        <v>7.9646358435591872E-3</v>
      </c>
      <c r="Q163" s="19">
        <v>4.0622828850054797E-2</v>
      </c>
      <c r="R163" s="19">
        <v>1.8312597808507036E-2</v>
      </c>
      <c r="S163" s="19">
        <v>6.0545478746844815E-3</v>
      </c>
      <c r="T163" s="19">
        <v>0.23370404184035867</v>
      </c>
    </row>
    <row r="164" spans="1:20" x14ac:dyDescent="0.25">
      <c r="A164" s="19" t="s">
        <v>250</v>
      </c>
      <c r="B164" s="19">
        <v>1469.8168224429376</v>
      </c>
      <c r="C164" s="19">
        <v>23894.594631115149</v>
      </c>
      <c r="D164" s="19">
        <v>867.33331006834862</v>
      </c>
      <c r="E164" s="19">
        <v>1533.6993207108753</v>
      </c>
      <c r="F164" s="19">
        <v>3196.748050868453</v>
      </c>
      <c r="G164" s="19">
        <v>1282.9843299752745</v>
      </c>
      <c r="H164" s="19">
        <v>4122.5004933497021</v>
      </c>
      <c r="I164" s="19">
        <v>139.28510478571479</v>
      </c>
      <c r="J164" s="19">
        <v>517.65047989211166</v>
      </c>
      <c r="K164" s="19">
        <v>616.46922103413385</v>
      </c>
      <c r="L164" s="19">
        <v>728.23940552607178</v>
      </c>
      <c r="M164" s="19">
        <v>1270.3849476670937</v>
      </c>
      <c r="N164" s="19">
        <v>887.74770039718021</v>
      </c>
      <c r="O164" s="19">
        <v>999.40753546846645</v>
      </c>
      <c r="P164" s="19">
        <v>334.50480111616031</v>
      </c>
      <c r="Q164" s="19">
        <v>1588.0632352914747</v>
      </c>
      <c r="R164" s="19">
        <v>722.37799434409521</v>
      </c>
      <c r="S164" s="19">
        <v>214.87424867379707</v>
      </c>
      <c r="T164" s="19">
        <v>9286.8568420312731</v>
      </c>
    </row>
    <row r="165" spans="1:20" x14ac:dyDescent="0.25">
      <c r="A165" s="19" t="s">
        <v>262</v>
      </c>
      <c r="B165" s="19">
        <v>1501.2299506237107</v>
      </c>
      <c r="C165" s="19">
        <v>23926.336305228153</v>
      </c>
      <c r="D165" s="19">
        <v>869.08384658653574</v>
      </c>
      <c r="E165" s="19">
        <v>1537.2443058431704</v>
      </c>
      <c r="F165" s="19">
        <v>3201.5732388519382</v>
      </c>
      <c r="G165" s="19">
        <v>1284.8856466485192</v>
      </c>
      <c r="H165" s="19">
        <v>4128.7038765517573</v>
      </c>
      <c r="I165" s="19">
        <v>139.76737314848961</v>
      </c>
      <c r="J165" s="19">
        <v>519.43757716056768</v>
      </c>
      <c r="K165" s="19">
        <v>618.58682216121633</v>
      </c>
      <c r="L165" s="19">
        <v>731.78824046016439</v>
      </c>
      <c r="M165" s="19">
        <v>1276.6114184573971</v>
      </c>
      <c r="N165" s="19">
        <v>891.13320895052254</v>
      </c>
      <c r="O165" s="19">
        <v>1016.6443228787101</v>
      </c>
      <c r="P165" s="19">
        <v>339.33087469744237</v>
      </c>
      <c r="Q165" s="19">
        <v>1599.1416574576585</v>
      </c>
      <c r="R165" s="19">
        <v>723.86308184826817</v>
      </c>
      <c r="S165" s="19">
        <v>216.01150371304186</v>
      </c>
      <c r="T165" s="19">
        <v>9303.8825727623771</v>
      </c>
    </row>
    <row r="166" spans="1:20" x14ac:dyDescent="0.25">
      <c r="A166" s="19" t="s">
        <v>263</v>
      </c>
      <c r="B166" s="19">
        <v>3979.1977795942312</v>
      </c>
      <c r="C166" s="19">
        <v>25576.456290119735</v>
      </c>
      <c r="D166" s="19">
        <v>932.96580160443978</v>
      </c>
      <c r="E166" s="19">
        <v>1750.8134101429453</v>
      </c>
      <c r="F166" s="19">
        <v>3498.5912097593496</v>
      </c>
      <c r="G166" s="19">
        <v>1399.3786162307485</v>
      </c>
      <c r="H166" s="19">
        <v>4395.10047443441</v>
      </c>
      <c r="I166" s="19">
        <v>156.2795113629457</v>
      </c>
      <c r="J166" s="19">
        <v>580.45918788667291</v>
      </c>
      <c r="K166" s="19">
        <v>720.12516587772984</v>
      </c>
      <c r="L166" s="19">
        <v>855.61616626262355</v>
      </c>
      <c r="M166" s="19">
        <v>1517.274862370974</v>
      </c>
      <c r="N166" s="19">
        <v>1004.2371188351699</v>
      </c>
      <c r="O166" s="19">
        <v>1068.8308117642443</v>
      </c>
      <c r="P166" s="19">
        <v>361.97131367531927</v>
      </c>
      <c r="Q166" s="19">
        <v>1695.3554045955977</v>
      </c>
      <c r="R166" s="19">
        <v>773.30031858151244</v>
      </c>
      <c r="S166" s="19">
        <v>254.15066090736292</v>
      </c>
      <c r="T166" s="19">
        <v>9968.6166090741135</v>
      </c>
    </row>
    <row r="167" spans="1:20" x14ac:dyDescent="0.25">
      <c r="A167" s="19" t="s">
        <v>275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1:20" x14ac:dyDescent="0.25">
      <c r="A168" s="19" t="s">
        <v>240</v>
      </c>
      <c r="B168" s="19">
        <v>4.6796729453438803E-2</v>
      </c>
      <c r="C168" s="19">
        <v>0.17217306412919564</v>
      </c>
      <c r="D168" s="19">
        <v>8.9060395703682051E-3</v>
      </c>
      <c r="E168" s="19">
        <v>1.9942111903999461E-2</v>
      </c>
      <c r="F168" s="19">
        <v>2.619906637906954E-2</v>
      </c>
      <c r="G168" s="19">
        <v>1.0914240544118945E-2</v>
      </c>
      <c r="H168" s="19">
        <v>4.1965727021885772E-2</v>
      </c>
      <c r="I168" s="19">
        <v>1.6122218175571121E-2</v>
      </c>
      <c r="J168" s="19">
        <v>5.8580380773567614E-2</v>
      </c>
      <c r="K168" s="19">
        <v>8.0643370263421499E-2</v>
      </c>
      <c r="L168" s="19">
        <v>0.12525502667011942</v>
      </c>
      <c r="M168" s="19">
        <v>4.2140201115579513E-2</v>
      </c>
      <c r="N168" s="19">
        <v>0.21630773327404842</v>
      </c>
      <c r="O168" s="19">
        <v>2.6931986582997545E-3</v>
      </c>
      <c r="P168" s="19">
        <v>3.002842622016247E-3</v>
      </c>
      <c r="Q168" s="19">
        <v>2.4939940098340961E-2</v>
      </c>
      <c r="R168" s="19">
        <v>6.9029776030062155E-3</v>
      </c>
      <c r="S168" s="19">
        <v>3.7541268546441645E-2</v>
      </c>
      <c r="T168" s="19">
        <v>8.8255331798466619E-2</v>
      </c>
    </row>
    <row r="169" spans="1:20" x14ac:dyDescent="0.25">
      <c r="A169" s="19" t="s">
        <v>241</v>
      </c>
      <c r="B169" s="19">
        <v>0.11415059882447295</v>
      </c>
      <c r="C169" s="19">
        <v>2.2495440546814609</v>
      </c>
      <c r="D169" s="19">
        <v>6.3065596560610004E-2</v>
      </c>
      <c r="E169" s="19">
        <v>0.11793377379204151</v>
      </c>
      <c r="F169" s="19">
        <v>0.18420615213995747</v>
      </c>
      <c r="G169" s="19">
        <v>7.8653042174990209E-2</v>
      </c>
      <c r="H169" s="19">
        <v>0.40037479960217343</v>
      </c>
      <c r="I169" s="19">
        <v>1.9326931621138275E-2</v>
      </c>
      <c r="J169" s="19">
        <v>7.0568184551768831E-2</v>
      </c>
      <c r="K169" s="19">
        <v>0.10565706006601508</v>
      </c>
      <c r="L169" s="19">
        <v>0.15330899167589082</v>
      </c>
      <c r="M169" s="19">
        <v>0.10244335598368204</v>
      </c>
      <c r="N169" s="19">
        <v>0.10025901807930175</v>
      </c>
      <c r="O169" s="19">
        <v>2.4844735514078318E-2</v>
      </c>
      <c r="P169" s="19">
        <v>2.6419634803022604E-2</v>
      </c>
      <c r="Q169" s="19">
        <v>5.6885697315004778E-2</v>
      </c>
      <c r="R169" s="19">
        <v>4.3611234635826009E-2</v>
      </c>
      <c r="S169" s="19">
        <v>4.2489553206253902E-2</v>
      </c>
      <c r="T169" s="19">
        <v>0.77965155406946729</v>
      </c>
    </row>
    <row r="170" spans="1:20" x14ac:dyDescent="0.25">
      <c r="A170" s="19" t="s">
        <v>242</v>
      </c>
      <c r="B170" s="19">
        <v>0.18776352574345084</v>
      </c>
      <c r="C170" s="19">
        <v>5.1470024086281123</v>
      </c>
      <c r="D170" s="19">
        <v>0.11326877904376682</v>
      </c>
      <c r="E170" s="19">
        <v>0.25503096150502874</v>
      </c>
      <c r="F170" s="19">
        <v>0.37670319581542178</v>
      </c>
      <c r="G170" s="19">
        <v>0.15725331079510707</v>
      </c>
      <c r="H170" s="19">
        <v>0.86863755027005152</v>
      </c>
      <c r="I170" s="19">
        <v>3.2137132927991294E-2</v>
      </c>
      <c r="J170" s="19">
        <v>0.11689480109321199</v>
      </c>
      <c r="K170" s="19">
        <v>0.15730117101671789</v>
      </c>
      <c r="L170" s="19">
        <v>0.26062781772535726</v>
      </c>
      <c r="M170" s="19">
        <v>0.15217328695792551</v>
      </c>
      <c r="N170" s="19">
        <v>0.16962534576145122</v>
      </c>
      <c r="O170" s="19">
        <v>4.872497459374437E-2</v>
      </c>
      <c r="P170" s="19">
        <v>5.0412839858272288E-2</v>
      </c>
      <c r="Q170" s="19">
        <v>8.422723815120349E-2</v>
      </c>
      <c r="R170" s="19">
        <v>7.6213702709583706E-2</v>
      </c>
      <c r="S170" s="19">
        <v>6.8650009142613419E-2</v>
      </c>
      <c r="T170" s="19">
        <v>1.4902807026659524</v>
      </c>
    </row>
    <row r="171" spans="1:20" x14ac:dyDescent="0.25">
      <c r="A171" s="19" t="s">
        <v>243</v>
      </c>
      <c r="B171" s="19">
        <v>1.9299563197852417E-2</v>
      </c>
      <c r="C171" s="19">
        <v>0.54750995243938105</v>
      </c>
      <c r="D171" s="19">
        <v>1.0351863966806681E-2</v>
      </c>
      <c r="E171" s="19">
        <v>2.7500572212769126E-2</v>
      </c>
      <c r="F171" s="19">
        <v>3.9063725304424729E-2</v>
      </c>
      <c r="G171" s="19">
        <v>1.5935345637140833E-2</v>
      </c>
      <c r="H171" s="19">
        <v>9.4847414769968511E-2</v>
      </c>
      <c r="I171" s="19">
        <v>3.1605967519404339E-3</v>
      </c>
      <c r="J171" s="19">
        <v>1.1407711359807999E-2</v>
      </c>
      <c r="K171" s="19">
        <v>2.5705762724628198E-2</v>
      </c>
      <c r="L171" s="19">
        <v>2.6498050477719665E-2</v>
      </c>
      <c r="M171" s="19">
        <v>1.2078490015222673E-2</v>
      </c>
      <c r="N171" s="19">
        <v>1.7179767549428099E-2</v>
      </c>
      <c r="O171" s="19">
        <v>4.6435206159709114E-3</v>
      </c>
      <c r="P171" s="19">
        <v>5.0539025423557756E-3</v>
      </c>
      <c r="Q171" s="19">
        <v>6.6697700698236644E-3</v>
      </c>
      <c r="R171" s="19">
        <v>6.2384809435335163E-3</v>
      </c>
      <c r="S171" s="19">
        <v>6.5313832261542784E-3</v>
      </c>
      <c r="T171" s="19">
        <v>0.14980450082336194</v>
      </c>
    </row>
    <row r="172" spans="1:20" x14ac:dyDescent="0.25">
      <c r="A172" s="19" t="s">
        <v>244</v>
      </c>
      <c r="B172" s="19">
        <v>1.6086015923671756E-2</v>
      </c>
      <c r="C172" s="19">
        <v>0.43136503125356901</v>
      </c>
      <c r="D172" s="19">
        <v>8.662771601482714E-3</v>
      </c>
      <c r="E172" s="19">
        <v>2.2973839514368273E-2</v>
      </c>
      <c r="F172" s="19">
        <v>3.1786708105981637E-2</v>
      </c>
      <c r="G172" s="19">
        <v>1.3043461391927313E-2</v>
      </c>
      <c r="H172" s="19">
        <v>7.9604763367787212E-2</v>
      </c>
      <c r="I172" s="19">
        <v>2.8579054077142712E-3</v>
      </c>
      <c r="J172" s="19">
        <v>1.0318962746890141E-2</v>
      </c>
      <c r="K172" s="19">
        <v>2.2591370143323884E-2</v>
      </c>
      <c r="L172" s="19">
        <v>2.3853317477475662E-2</v>
      </c>
      <c r="M172" s="19">
        <v>1.041443305805962E-2</v>
      </c>
      <c r="N172" s="19">
        <v>1.5079964335853912E-2</v>
      </c>
      <c r="O172" s="19">
        <v>3.8804521095275094E-3</v>
      </c>
      <c r="P172" s="19">
        <v>4.2235140517286329E-3</v>
      </c>
      <c r="Q172" s="19">
        <v>5.7314305230277028E-3</v>
      </c>
      <c r="R172" s="19">
        <v>5.2402770842996764E-3</v>
      </c>
      <c r="S172" s="19">
        <v>5.9644909092603704E-3</v>
      </c>
      <c r="T172" s="19">
        <v>0.12518893744004356</v>
      </c>
    </row>
    <row r="173" spans="1:20" x14ac:dyDescent="0.25">
      <c r="A173" s="19" t="s">
        <v>245</v>
      </c>
      <c r="B173" s="19">
        <v>0.11672721576138732</v>
      </c>
      <c r="C173" s="19">
        <v>6.3568981505019435</v>
      </c>
      <c r="D173" s="19">
        <v>8.968622141509576E-2</v>
      </c>
      <c r="E173" s="19">
        <v>0.24062203718247066</v>
      </c>
      <c r="F173" s="19">
        <v>0.38271990150413832</v>
      </c>
      <c r="G173" s="19">
        <v>0.15274315381247755</v>
      </c>
      <c r="H173" s="19">
        <v>0.8272976067007406</v>
      </c>
      <c r="I173" s="19">
        <v>7.8818446828598804E-3</v>
      </c>
      <c r="J173" s="19">
        <v>2.8115691876725257E-2</v>
      </c>
      <c r="K173" s="19">
        <v>8.0664966024259349E-2</v>
      </c>
      <c r="L173" s="19">
        <v>7.6705168509258306E-2</v>
      </c>
      <c r="M173" s="19">
        <v>6.7765462154319361E-2</v>
      </c>
      <c r="N173" s="19">
        <v>7.9222786547224311E-2</v>
      </c>
      <c r="O173" s="19">
        <v>4.0990335192801951E-2</v>
      </c>
      <c r="P173" s="19">
        <v>4.4444915256515331E-2</v>
      </c>
      <c r="Q173" s="19">
        <v>3.5960110056576476E-2</v>
      </c>
      <c r="R173" s="19">
        <v>5.3495773470158665E-2</v>
      </c>
      <c r="S173" s="19">
        <v>1.0887851956558161E-2</v>
      </c>
      <c r="T173" s="19">
        <v>1.3175026732408628</v>
      </c>
    </row>
    <row r="174" spans="1:20" x14ac:dyDescent="0.25">
      <c r="A174" s="19" t="s">
        <v>246</v>
      </c>
      <c r="B174" s="19">
        <v>1.2724950047081696E-3</v>
      </c>
      <c r="C174" s="19">
        <v>1.9450905098668345E-2</v>
      </c>
      <c r="D174" s="19">
        <v>4.1986816818191186E-4</v>
      </c>
      <c r="E174" s="19">
        <v>1.3140184580859805E-3</v>
      </c>
      <c r="F174" s="19">
        <v>1.5822331617053808E-3</v>
      </c>
      <c r="G174" s="19">
        <v>6.4798383138351626E-4</v>
      </c>
      <c r="H174" s="19">
        <v>4.1133316279045352E-3</v>
      </c>
      <c r="I174" s="19">
        <v>1.8711061870437299E-4</v>
      </c>
      <c r="J174" s="19">
        <v>6.7672872800932527E-4</v>
      </c>
      <c r="K174" s="19">
        <v>1.5340373039538985E-3</v>
      </c>
      <c r="L174" s="19">
        <v>1.5437221784861074E-3</v>
      </c>
      <c r="M174" s="19">
        <v>6.7185434778390275E-4</v>
      </c>
      <c r="N174" s="19">
        <v>1.4565113229872038E-3</v>
      </c>
      <c r="O174" s="19">
        <v>1.8059313109454936E-4</v>
      </c>
      <c r="P174" s="19">
        <v>1.9818261669196573E-4</v>
      </c>
      <c r="Q174" s="19">
        <v>4.6009543683705632E-4</v>
      </c>
      <c r="R174" s="19">
        <v>2.7951396658383435E-4</v>
      </c>
      <c r="S174" s="19">
        <v>4.0504231094217396E-4</v>
      </c>
      <c r="T174" s="19">
        <v>5.87263046483932E-3</v>
      </c>
    </row>
    <row r="175" spans="1:20" x14ac:dyDescent="0.25">
      <c r="A175" s="19" t="s">
        <v>247</v>
      </c>
      <c r="B175" s="19">
        <v>3.7363160078277176E-3</v>
      </c>
      <c r="C175" s="19">
        <v>4.9080007006433272E-2</v>
      </c>
      <c r="D175" s="19">
        <v>2.333843487349985E-3</v>
      </c>
      <c r="E175" s="19">
        <v>5.7975643883269807E-3</v>
      </c>
      <c r="F175" s="19">
        <v>6.2102682522236392E-3</v>
      </c>
      <c r="G175" s="19">
        <v>2.7588235487585643E-3</v>
      </c>
      <c r="H175" s="19">
        <v>2.2021722904954945E-2</v>
      </c>
      <c r="I175" s="19">
        <v>8.7692612716756629E-4</v>
      </c>
      <c r="J175" s="19">
        <v>3.1681355218223942E-3</v>
      </c>
      <c r="K175" s="19">
        <v>3.9898132030272695E-3</v>
      </c>
      <c r="L175" s="19">
        <v>7.2734097545278367E-3</v>
      </c>
      <c r="M175" s="19">
        <v>2.4182916066864272E-3</v>
      </c>
      <c r="N175" s="19">
        <v>4.1365877518795054E-3</v>
      </c>
      <c r="O175" s="19">
        <v>1.0784705298759814E-3</v>
      </c>
      <c r="P175" s="19">
        <v>1.1437668365457652E-3</v>
      </c>
      <c r="Q175" s="19">
        <v>1.2344828163080544E-3</v>
      </c>
      <c r="R175" s="19">
        <v>1.4393268495285529E-3</v>
      </c>
      <c r="S175" s="19">
        <v>1.855459410180306E-3</v>
      </c>
      <c r="T175" s="19">
        <v>3.3900672208500231E-2</v>
      </c>
    </row>
    <row r="177" spans="1:2" s="21" customFormat="1" ht="15.75" thickBot="1" x14ac:dyDescent="0.3"/>
    <row r="179" spans="1:2" x14ac:dyDescent="0.25">
      <c r="A179" t="s">
        <v>280</v>
      </c>
    </row>
    <row r="180" spans="1:2" x14ac:dyDescent="0.25">
      <c r="B180" t="s">
        <v>278</v>
      </c>
    </row>
    <row r="181" spans="1:2" x14ac:dyDescent="0.25">
      <c r="A181" s="19" t="s">
        <v>279</v>
      </c>
      <c r="B181" s="19"/>
    </row>
    <row r="182" spans="1:2" x14ac:dyDescent="0.25">
      <c r="A182" s="19" t="s">
        <v>233</v>
      </c>
      <c r="B182" s="19">
        <v>0.20004869132085429</v>
      </c>
    </row>
    <row r="183" spans="1:2" x14ac:dyDescent="0.25">
      <c r="A183" s="19" t="s">
        <v>234</v>
      </c>
      <c r="B183" s="19">
        <v>0.18541614319384811</v>
      </c>
    </row>
    <row r="184" spans="1:2" x14ac:dyDescent="0.25">
      <c r="A184" s="19" t="s">
        <v>235</v>
      </c>
      <c r="B184" s="19">
        <v>1.6894779449613838E-2</v>
      </c>
    </row>
    <row r="185" spans="1:2" x14ac:dyDescent="0.25">
      <c r="A185" s="19" t="s">
        <v>236</v>
      </c>
      <c r="B185" s="19">
        <v>0.16795139434859432</v>
      </c>
    </row>
    <row r="186" spans="1:2" x14ac:dyDescent="0.25">
      <c r="A186" s="19" t="s">
        <v>237</v>
      </c>
      <c r="B186" s="19">
        <v>5.699693956399503E-4</v>
      </c>
    </row>
    <row r="187" spans="1:2" x14ac:dyDescent="0.25">
      <c r="A187" s="19" t="s">
        <v>238</v>
      </c>
      <c r="B187" s="19">
        <v>13.815279663144082</v>
      </c>
    </row>
    <row r="188" spans="1:2" x14ac:dyDescent="0.25">
      <c r="A188" s="19" t="s">
        <v>273</v>
      </c>
      <c r="B188" s="19"/>
    </row>
    <row r="189" spans="1:2" x14ac:dyDescent="0.25">
      <c r="A189" s="19" t="s">
        <v>240</v>
      </c>
      <c r="B189" s="19">
        <v>3.1119071859459888</v>
      </c>
    </row>
    <row r="190" spans="1:2" x14ac:dyDescent="0.25">
      <c r="A190" s="19" t="s">
        <v>241</v>
      </c>
      <c r="B190" s="19">
        <v>11.659718718622006</v>
      </c>
    </row>
    <row r="191" spans="1:2" x14ac:dyDescent="0.25">
      <c r="A191" s="19" t="s">
        <v>274</v>
      </c>
      <c r="B191" s="19">
        <v>15.69899996600174</v>
      </c>
    </row>
    <row r="192" spans="1:2" x14ac:dyDescent="0.25">
      <c r="A192" s="19" t="s">
        <v>243</v>
      </c>
      <c r="B192" s="19">
        <v>0.87800855775185571</v>
      </c>
    </row>
    <row r="193" spans="1:2" x14ac:dyDescent="0.25">
      <c r="A193" s="19" t="s">
        <v>244</v>
      </c>
      <c r="B193" s="19">
        <v>0.72213364108222744</v>
      </c>
    </row>
    <row r="194" spans="1:2" x14ac:dyDescent="0.25">
      <c r="A194" s="19" t="s">
        <v>245</v>
      </c>
      <c r="B194" s="19">
        <v>1.8494374897728847</v>
      </c>
    </row>
    <row r="195" spans="1:2" x14ac:dyDescent="0.25">
      <c r="A195" s="19" t="s">
        <v>246</v>
      </c>
      <c r="B195" s="19">
        <v>9.9271745554436908E-2</v>
      </c>
    </row>
    <row r="196" spans="1:2" x14ac:dyDescent="0.25">
      <c r="A196" s="19" t="s">
        <v>247</v>
      </c>
      <c r="B196" s="19">
        <v>0.27774702559375886</v>
      </c>
    </row>
    <row r="197" spans="1:2" x14ac:dyDescent="0.25">
      <c r="A197" s="19" t="s">
        <v>248</v>
      </c>
      <c r="B197" s="19">
        <v>28.248293664451296</v>
      </c>
    </row>
    <row r="198" spans="1:2" x14ac:dyDescent="0.25">
      <c r="A198" s="19" t="s">
        <v>249</v>
      </c>
      <c r="B198" s="19">
        <v>0.34669763924701585</v>
      </c>
    </row>
    <row r="199" spans="1:2" x14ac:dyDescent="0.25">
      <c r="A199" s="19" t="s">
        <v>250</v>
      </c>
      <c r="B199" s="19">
        <v>11503.11847800246</v>
      </c>
    </row>
    <row r="200" spans="1:2" x14ac:dyDescent="0.25">
      <c r="A200" s="19" t="s">
        <v>262</v>
      </c>
      <c r="B200" s="19">
        <v>11531.139670527922</v>
      </c>
    </row>
    <row r="201" spans="1:2" x14ac:dyDescent="0.25">
      <c r="A201" s="19" t="s">
        <v>263</v>
      </c>
      <c r="B201" s="19">
        <v>12467.587277243007</v>
      </c>
    </row>
    <row r="202" spans="1:2" x14ac:dyDescent="0.25">
      <c r="A202" s="19" t="s">
        <v>275</v>
      </c>
      <c r="B202" s="19"/>
    </row>
    <row r="203" spans="1:2" x14ac:dyDescent="0.25">
      <c r="A203" s="19" t="s">
        <v>240</v>
      </c>
      <c r="B203" s="19">
        <v>0.11657793423148603</v>
      </c>
    </row>
    <row r="204" spans="1:2" x14ac:dyDescent="0.25">
      <c r="A204" s="19" t="s">
        <v>241</v>
      </c>
      <c r="B204" s="19">
        <v>0.71474348970330448</v>
      </c>
    </row>
    <row r="205" spans="1:2" x14ac:dyDescent="0.25">
      <c r="A205" s="19" t="s">
        <v>242</v>
      </c>
      <c r="B205" s="19">
        <v>1.1099775460418395</v>
      </c>
    </row>
    <row r="206" spans="1:2" x14ac:dyDescent="0.25">
      <c r="A206" s="19" t="s">
        <v>243</v>
      </c>
      <c r="B206" s="19">
        <v>7.1616396621854414E-2</v>
      </c>
    </row>
    <row r="207" spans="1:2" x14ac:dyDescent="0.25">
      <c r="A207" s="19" t="s">
        <v>244</v>
      </c>
      <c r="B207" s="19">
        <v>6.0019088070885365E-2</v>
      </c>
    </row>
    <row r="208" spans="1:2" x14ac:dyDescent="0.25">
      <c r="A208" s="19" t="s">
        <v>245</v>
      </c>
      <c r="B208" s="19">
        <v>0.62043577914075965</v>
      </c>
    </row>
    <row r="209" spans="1:2" x14ac:dyDescent="0.25">
      <c r="A209" s="19" t="s">
        <v>246</v>
      </c>
      <c r="B209" s="19">
        <v>2.9823695937119545E-3</v>
      </c>
    </row>
    <row r="210" spans="1:2" x14ac:dyDescent="0.25">
      <c r="A210" s="19" t="s">
        <v>247</v>
      </c>
      <c r="B210" s="19">
        <v>1.6416421308841338E-2</v>
      </c>
    </row>
  </sheetData>
  <mergeCells count="5">
    <mergeCell ref="F7:M7"/>
    <mergeCell ref="F8:M8"/>
    <mergeCell ref="C8:D8"/>
    <mergeCell ref="J67:L67"/>
    <mergeCell ref="J69:L6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3881-82ED-4978-B803-0D7521BF7F3C}">
  <dimension ref="A1:R103"/>
  <sheetViews>
    <sheetView zoomScale="60" workbookViewId="0">
      <selection activeCell="K58" sqref="K58"/>
    </sheetView>
  </sheetViews>
  <sheetFormatPr defaultRowHeight="15" x14ac:dyDescent="0.25"/>
  <cols>
    <col min="1" max="1" width="65.42578125" bestFit="1" customWidth="1"/>
    <col min="2" max="2" width="33.28515625" bestFit="1" customWidth="1"/>
    <col min="3" max="3" width="36" bestFit="1" customWidth="1"/>
    <col min="4" max="4" width="39.5703125" bestFit="1" customWidth="1"/>
    <col min="5" max="5" width="35.140625" bestFit="1" customWidth="1"/>
    <col min="6" max="6" width="33.28515625" bestFit="1" customWidth="1"/>
    <col min="7" max="7" width="25.7109375" customWidth="1"/>
    <col min="8" max="8" width="34.140625" customWidth="1"/>
    <col min="9" max="9" width="25.5703125" bestFit="1" customWidth="1"/>
    <col min="10" max="10" width="24.140625" bestFit="1" customWidth="1"/>
    <col min="11" max="11" width="21.42578125" bestFit="1" customWidth="1"/>
    <col min="16" max="16" width="40.42578125" bestFit="1" customWidth="1"/>
    <col min="17" max="17" width="12" bestFit="1" customWidth="1"/>
  </cols>
  <sheetData>
    <row r="1" spans="1:11" x14ac:dyDescent="0.25">
      <c r="A1" t="s">
        <v>314</v>
      </c>
    </row>
    <row r="2" spans="1:11" x14ac:dyDescent="0.25">
      <c r="A2" s="19"/>
      <c r="B2" s="19" t="s">
        <v>315</v>
      </c>
      <c r="C2" s="19" t="s">
        <v>316</v>
      </c>
      <c r="D2" s="19" t="s">
        <v>318</v>
      </c>
      <c r="E2" s="19" t="s">
        <v>317</v>
      </c>
      <c r="F2" s="19" t="s">
        <v>270</v>
      </c>
    </row>
    <row r="3" spans="1:11" x14ac:dyDescent="0.25">
      <c r="A3" s="19" t="s">
        <v>272</v>
      </c>
      <c r="B3" s="19"/>
      <c r="C3" s="19"/>
      <c r="D3" s="19"/>
      <c r="E3" s="19"/>
      <c r="F3" s="19"/>
    </row>
    <row r="4" spans="1:11" x14ac:dyDescent="0.25">
      <c r="A4" s="19" t="s">
        <v>233</v>
      </c>
      <c r="B4" s="19">
        <v>1.4602806539523608E-2</v>
      </c>
      <c r="C4" s="19">
        <v>4.6802945320607858E-3</v>
      </c>
      <c r="D4" s="19">
        <v>1.1983263369553422E-2</v>
      </c>
      <c r="E4" s="19">
        <v>0</v>
      </c>
      <c r="F4" s="19">
        <v>5.7242512774149535E-3</v>
      </c>
      <c r="H4" t="s">
        <v>319</v>
      </c>
    </row>
    <row r="5" spans="1:11" x14ac:dyDescent="0.25">
      <c r="A5" s="19" t="s">
        <v>234</v>
      </c>
      <c r="B5" s="19">
        <v>1.3581185834154106E-2</v>
      </c>
      <c r="C5" s="19">
        <v>3.8548277644597888E-3</v>
      </c>
      <c r="D5" s="19">
        <v>1.1013427303754805E-2</v>
      </c>
      <c r="E5" s="19">
        <v>0</v>
      </c>
      <c r="F5" s="19">
        <v>4.6760218027143263E-3</v>
      </c>
      <c r="H5" t="s">
        <v>320</v>
      </c>
    </row>
    <row r="6" spans="1:11" x14ac:dyDescent="0.25">
      <c r="A6" s="19" t="s">
        <v>235</v>
      </c>
      <c r="B6" s="19">
        <v>1.0393006339158904E-2</v>
      </c>
      <c r="C6" s="19">
        <v>1.0418458353268259E-3</v>
      </c>
      <c r="D6" s="19">
        <v>7.9242999661472344E-3</v>
      </c>
      <c r="E6" s="19">
        <v>0</v>
      </c>
      <c r="F6" s="19">
        <v>1.3473000740131403E-3</v>
      </c>
      <c r="H6" s="19"/>
      <c r="I6" s="19" t="s">
        <v>321</v>
      </c>
      <c r="J6" s="19" t="s">
        <v>322</v>
      </c>
      <c r="K6" s="19" t="s">
        <v>323</v>
      </c>
    </row>
    <row r="7" spans="1:11" x14ac:dyDescent="0.25">
      <c r="A7" s="19" t="s">
        <v>236</v>
      </c>
      <c r="B7" s="19">
        <v>3.2913879900325002E-3</v>
      </c>
      <c r="C7" s="19">
        <v>2.7820945717948052E-3</v>
      </c>
      <c r="D7" s="19">
        <v>3.1569345276177487E-3</v>
      </c>
      <c r="E7" s="19">
        <v>0</v>
      </c>
      <c r="F7" s="19">
        <v>3.2895450683335867E-3</v>
      </c>
      <c r="H7" s="19" t="s">
        <v>17</v>
      </c>
      <c r="I7" s="28">
        <v>0.73599999999999999</v>
      </c>
      <c r="J7" s="28">
        <v>0.26400000000000001</v>
      </c>
      <c r="K7" s="28">
        <v>0</v>
      </c>
    </row>
    <row r="8" spans="1:11" x14ac:dyDescent="0.25">
      <c r="A8" s="19" t="s">
        <v>237</v>
      </c>
      <c r="B8" s="19">
        <v>-1.0320849503730049E-4</v>
      </c>
      <c r="C8" s="19">
        <v>3.0887357338157746E-5</v>
      </c>
      <c r="D8" s="19">
        <v>-6.7807190010179516E-5</v>
      </c>
      <c r="E8" s="19">
        <v>0</v>
      </c>
      <c r="F8" s="19">
        <v>3.917666036759932E-5</v>
      </c>
      <c r="H8" s="19" t="s">
        <v>324</v>
      </c>
      <c r="I8" s="28">
        <v>0.39019999999999999</v>
      </c>
      <c r="J8" s="28">
        <v>0.2989</v>
      </c>
      <c r="K8" s="28">
        <v>0.31089999999999995</v>
      </c>
    </row>
    <row r="9" spans="1:11" x14ac:dyDescent="0.25">
      <c r="A9" s="19" t="s">
        <v>238</v>
      </c>
      <c r="B9" s="19">
        <v>0.40197833277376849</v>
      </c>
      <c r="C9" s="19">
        <v>0.27501018265110427</v>
      </c>
      <c r="D9" s="19">
        <v>0.3684587411413851</v>
      </c>
      <c r="E9" s="19">
        <v>0</v>
      </c>
      <c r="F9" s="19">
        <v>0.34852710169820106</v>
      </c>
      <c r="H9" s="19" t="s">
        <v>325</v>
      </c>
      <c r="I9" s="28">
        <v>0.20300000000000001</v>
      </c>
      <c r="J9" s="28">
        <v>0.2319</v>
      </c>
      <c r="K9" s="28">
        <v>0.56509999999999994</v>
      </c>
    </row>
    <row r="10" spans="1:11" x14ac:dyDescent="0.25">
      <c r="A10" s="19" t="s">
        <v>273</v>
      </c>
      <c r="B10" s="19"/>
      <c r="C10" s="19"/>
      <c r="D10" s="19"/>
      <c r="E10" s="19"/>
      <c r="F10" s="19"/>
      <c r="H10" s="19" t="s">
        <v>326</v>
      </c>
      <c r="I10" s="28">
        <v>0.20300000000000001</v>
      </c>
      <c r="J10" s="28">
        <v>0.2319</v>
      </c>
      <c r="K10" s="28">
        <v>0.56509999999999994</v>
      </c>
    </row>
    <row r="11" spans="1:11" x14ac:dyDescent="0.25">
      <c r="A11" s="19" t="s">
        <v>240</v>
      </c>
      <c r="B11" s="19">
        <v>1.5742684083172154</v>
      </c>
      <c r="C11" s="19">
        <v>0.14622852105023176</v>
      </c>
      <c r="D11" s="19">
        <v>1.1972658780787315</v>
      </c>
      <c r="E11" s="19">
        <v>0</v>
      </c>
      <c r="F11" s="19">
        <v>0.20622989080592288</v>
      </c>
      <c r="H11" s="19" t="s">
        <v>327</v>
      </c>
      <c r="I11" s="28">
        <v>0.26829999999999998</v>
      </c>
      <c r="J11" s="28">
        <v>0.16200000000000001</v>
      </c>
      <c r="K11" s="28">
        <v>0.56969999999999998</v>
      </c>
    </row>
    <row r="12" spans="1:11" x14ac:dyDescent="0.25">
      <c r="A12" s="19" t="s">
        <v>241</v>
      </c>
      <c r="B12" s="19">
        <v>11.041738923090668</v>
      </c>
      <c r="C12" s="19">
        <v>1.7710891793891284</v>
      </c>
      <c r="D12" s="19">
        <v>8.5942873907534612</v>
      </c>
      <c r="E12" s="19">
        <v>0</v>
      </c>
      <c r="F12" s="19">
        <v>2.662115116778097</v>
      </c>
      <c r="H12" s="19" t="s">
        <v>268</v>
      </c>
      <c r="I12" s="28">
        <v>0.50419999999999998</v>
      </c>
      <c r="J12" s="28">
        <v>0</v>
      </c>
      <c r="K12" s="28">
        <v>0.49580000000000002</v>
      </c>
    </row>
    <row r="13" spans="1:11" x14ac:dyDescent="0.25">
      <c r="A13" s="19" t="s">
        <v>274</v>
      </c>
      <c r="B13" s="19">
        <v>1.4433378708395457</v>
      </c>
      <c r="C13" s="19">
        <v>0.32652808075065787</v>
      </c>
      <c r="D13" s="19">
        <v>1.1485000862560792</v>
      </c>
      <c r="E13" s="19">
        <v>0</v>
      </c>
      <c r="F13" s="19">
        <v>0.40240869329261136</v>
      </c>
      <c r="H13" s="19" t="s">
        <v>64</v>
      </c>
      <c r="I13" s="28">
        <v>0.2</v>
      </c>
      <c r="J13" s="28">
        <v>0.8</v>
      </c>
      <c r="K13" s="28">
        <v>0</v>
      </c>
    </row>
    <row r="14" spans="1:11" x14ac:dyDescent="0.25">
      <c r="A14" s="19" t="s">
        <v>243</v>
      </c>
      <c r="B14" s="19">
        <v>0.76072345663024232</v>
      </c>
      <c r="C14" s="19">
        <v>0.32905941001022054</v>
      </c>
      <c r="D14" s="19">
        <v>0.64676414832255658</v>
      </c>
      <c r="E14" s="19">
        <v>0</v>
      </c>
      <c r="F14" s="19">
        <v>0.5001079677919843</v>
      </c>
      <c r="H14" s="19" t="s">
        <v>328</v>
      </c>
      <c r="I14" s="28">
        <v>0</v>
      </c>
      <c r="J14" s="28">
        <v>1</v>
      </c>
      <c r="K14" s="28">
        <v>0</v>
      </c>
    </row>
    <row r="15" spans="1:11" x14ac:dyDescent="0.25">
      <c r="A15" s="19" t="s">
        <v>244</v>
      </c>
      <c r="B15" s="19">
        <v>0.36380852132897701</v>
      </c>
      <c r="C15" s="19">
        <v>0.16847068080993519</v>
      </c>
      <c r="D15" s="19">
        <v>0.31223933143194998</v>
      </c>
      <c r="E15" s="19">
        <v>0</v>
      </c>
      <c r="F15" s="19">
        <v>0.25462104194999213</v>
      </c>
      <c r="H15" s="19" t="s">
        <v>140</v>
      </c>
      <c r="I15" s="28">
        <v>0.56000000000000005</v>
      </c>
      <c r="J15" s="28">
        <v>0.43999999999999995</v>
      </c>
      <c r="K15" s="28">
        <v>0</v>
      </c>
    </row>
    <row r="16" spans="1:11" x14ac:dyDescent="0.25">
      <c r="A16" s="19" t="s">
        <v>245</v>
      </c>
      <c r="B16" s="19">
        <v>5.5083069363156385</v>
      </c>
      <c r="C16" s="19">
        <v>0.28608705897754921</v>
      </c>
      <c r="D16" s="19">
        <v>4.1296408886983835</v>
      </c>
      <c r="E16" s="19">
        <v>0</v>
      </c>
      <c r="F16" s="19">
        <v>0.41304971817038671</v>
      </c>
      <c r="H16" s="19" t="s">
        <v>329</v>
      </c>
      <c r="I16" s="28">
        <v>0.47899999999999998</v>
      </c>
      <c r="J16" s="28">
        <v>0.52100000000000002</v>
      </c>
      <c r="K16" s="28">
        <v>0</v>
      </c>
    </row>
    <row r="17" spans="1:9" x14ac:dyDescent="0.25">
      <c r="A17" s="19" t="s">
        <v>246</v>
      </c>
      <c r="B17" s="19">
        <v>4.4037466219032564E-3</v>
      </c>
      <c r="C17" s="19">
        <v>1.5171555199421901E-3</v>
      </c>
      <c r="D17" s="19">
        <v>3.6416865709855348E-3</v>
      </c>
      <c r="E17" s="19">
        <v>0</v>
      </c>
      <c r="F17" s="19">
        <v>1.7781239546661753E-3</v>
      </c>
    </row>
    <row r="18" spans="1:9" x14ac:dyDescent="0.25">
      <c r="A18" s="19" t="s">
        <v>247</v>
      </c>
      <c r="B18" s="19">
        <v>1.2580039570267945E-2</v>
      </c>
      <c r="C18" s="19">
        <v>5.3704787084454539E-3</v>
      </c>
      <c r="D18" s="19">
        <v>1.0676715502746808E-2</v>
      </c>
      <c r="E18" s="19">
        <v>0</v>
      </c>
      <c r="F18" s="19">
        <v>6.4453452203809807E-3</v>
      </c>
      <c r="H18" t="s">
        <v>330</v>
      </c>
    </row>
    <row r="19" spans="1:9" x14ac:dyDescent="0.25">
      <c r="A19" s="19" t="s">
        <v>248</v>
      </c>
      <c r="B19" s="19">
        <v>2.0495350379088397</v>
      </c>
      <c r="C19" s="19">
        <v>0.57012165303989248</v>
      </c>
      <c r="D19" s="19">
        <v>1.6589699043034376</v>
      </c>
      <c r="E19" s="19">
        <v>0</v>
      </c>
      <c r="F19" s="19">
        <v>0.68678165746930298</v>
      </c>
      <c r="H19" s="19"/>
      <c r="I19" s="19" t="s">
        <v>331</v>
      </c>
    </row>
    <row r="20" spans="1:9" x14ac:dyDescent="0.25">
      <c r="A20" s="19" t="s">
        <v>249</v>
      </c>
      <c r="B20" s="19">
        <v>1.130003302314958E-2</v>
      </c>
      <c r="C20" s="19">
        <v>6.6418678823458978E-3</v>
      </c>
      <c r="D20" s="19">
        <v>1.0070277425977409E-2</v>
      </c>
      <c r="E20" s="19">
        <v>0</v>
      </c>
      <c r="F20" s="19">
        <v>7.9646358435591872E-3</v>
      </c>
      <c r="H20" s="19" t="s">
        <v>17</v>
      </c>
      <c r="I20" s="28">
        <v>0.96</v>
      </c>
    </row>
    <row r="21" spans="1:9" x14ac:dyDescent="0.25">
      <c r="A21" s="19" t="s">
        <v>250</v>
      </c>
      <c r="B21" s="19">
        <v>1260.3480744177616</v>
      </c>
      <c r="C21" s="19">
        <v>271.93694203406784</v>
      </c>
      <c r="D21" s="19">
        <v>999.40753546846645</v>
      </c>
      <c r="E21" s="19">
        <v>0</v>
      </c>
      <c r="F21" s="19">
        <v>334.50480111616031</v>
      </c>
      <c r="H21" s="19" t="s">
        <v>324</v>
      </c>
      <c r="I21" s="28">
        <v>0.91</v>
      </c>
    </row>
    <row r="22" spans="1:9" x14ac:dyDescent="0.25">
      <c r="A22" s="19" t="s">
        <v>262</v>
      </c>
      <c r="B22" s="19">
        <v>1282.60584831235</v>
      </c>
      <c r="C22" s="19">
        <v>275.17582773038112</v>
      </c>
      <c r="D22" s="19">
        <v>1016.6443228787101</v>
      </c>
      <c r="E22" s="19">
        <v>0</v>
      </c>
      <c r="F22" s="19">
        <v>339.33087469744237</v>
      </c>
      <c r="H22" s="19" t="s">
        <v>325</v>
      </c>
      <c r="I22" s="28">
        <v>0.91</v>
      </c>
    </row>
    <row r="23" spans="1:9" x14ac:dyDescent="0.25">
      <c r="A23" s="19" t="s">
        <v>263</v>
      </c>
      <c r="B23" s="19">
        <v>1346.7669014573532</v>
      </c>
      <c r="C23" s="19">
        <v>293.97868292285028</v>
      </c>
      <c r="D23" s="19">
        <v>1068.8308117642443</v>
      </c>
      <c r="E23" s="19">
        <v>0</v>
      </c>
      <c r="F23" s="19">
        <v>361.97131367531927</v>
      </c>
      <c r="H23" s="19" t="s">
        <v>326</v>
      </c>
      <c r="I23" s="28">
        <v>0.91</v>
      </c>
    </row>
    <row r="24" spans="1:9" x14ac:dyDescent="0.25">
      <c r="A24" s="19" t="s">
        <v>275</v>
      </c>
      <c r="B24" s="19"/>
      <c r="C24" s="19"/>
      <c r="D24" s="19"/>
      <c r="E24" s="19"/>
      <c r="F24" s="19"/>
      <c r="H24" s="19" t="s">
        <v>327</v>
      </c>
      <c r="I24" s="28">
        <v>0.91</v>
      </c>
    </row>
    <row r="25" spans="1:9" x14ac:dyDescent="0.25">
      <c r="A25" s="19" t="s">
        <v>240</v>
      </c>
      <c r="B25" s="19">
        <v>2.7689780516382029E-3</v>
      </c>
      <c r="C25" s="19">
        <v>2.4819348950531712E-3</v>
      </c>
      <c r="D25" s="19">
        <v>2.6931986582997545E-3</v>
      </c>
      <c r="E25" s="19">
        <v>0</v>
      </c>
      <c r="F25" s="19">
        <v>3.002842622016247E-3</v>
      </c>
      <c r="H25" s="19" t="s">
        <v>268</v>
      </c>
      <c r="I25" s="28">
        <v>0.91</v>
      </c>
    </row>
    <row r="26" spans="1:9" x14ac:dyDescent="0.25">
      <c r="A26" s="19" t="s">
        <v>241</v>
      </c>
      <c r="B26" s="19">
        <v>2.6098879772240312E-2</v>
      </c>
      <c r="C26" s="19">
        <v>2.1348333339808512E-2</v>
      </c>
      <c r="D26" s="19">
        <v>2.4844735514078318E-2</v>
      </c>
      <c r="E26" s="19">
        <v>0</v>
      </c>
      <c r="F26" s="19">
        <v>2.6419634803022604E-2</v>
      </c>
      <c r="H26" s="19" t="s">
        <v>64</v>
      </c>
      <c r="I26" s="28">
        <v>0.91</v>
      </c>
    </row>
    <row r="27" spans="1:9" x14ac:dyDescent="0.25">
      <c r="A27" s="19" t="s">
        <v>242</v>
      </c>
      <c r="B27" s="19">
        <v>5.1733575860751543E-2</v>
      </c>
      <c r="C27" s="19">
        <v>4.0337358940269817E-2</v>
      </c>
      <c r="D27" s="19">
        <v>4.872497459374437E-2</v>
      </c>
      <c r="E27" s="19">
        <v>0</v>
      </c>
      <c r="F27" s="19">
        <v>5.0412839858272288E-2</v>
      </c>
      <c r="H27" s="19" t="s">
        <v>328</v>
      </c>
      <c r="I27" s="28">
        <v>0.99</v>
      </c>
    </row>
    <row r="28" spans="1:9" x14ac:dyDescent="0.25">
      <c r="A28" s="19" t="s">
        <v>243</v>
      </c>
      <c r="B28" s="19">
        <v>4.8809640082502284E-3</v>
      </c>
      <c r="C28" s="19">
        <v>3.9815572193134217E-3</v>
      </c>
      <c r="D28" s="19">
        <v>4.6435206159709114E-3</v>
      </c>
      <c r="E28" s="19">
        <v>0</v>
      </c>
      <c r="F28" s="19">
        <v>5.0539025423557756E-3</v>
      </c>
      <c r="H28" s="19" t="s">
        <v>140</v>
      </c>
      <c r="I28" s="28">
        <v>0.8</v>
      </c>
    </row>
    <row r="29" spans="1:9" x14ac:dyDescent="0.25">
      <c r="A29" s="19" t="s">
        <v>244</v>
      </c>
      <c r="B29" s="19">
        <v>4.0787475601256383E-3</v>
      </c>
      <c r="C29" s="19">
        <v>3.3276284290721194E-3</v>
      </c>
      <c r="D29" s="19">
        <v>3.8804521095275094E-3</v>
      </c>
      <c r="E29" s="19">
        <v>0</v>
      </c>
      <c r="F29" s="19">
        <v>4.2235140517286329E-3</v>
      </c>
      <c r="H29" s="19" t="s">
        <v>329</v>
      </c>
      <c r="I29" s="28">
        <v>0.7</v>
      </c>
    </row>
    <row r="30" spans="1:9" x14ac:dyDescent="0.25">
      <c r="A30" s="19" t="s">
        <v>245</v>
      </c>
      <c r="B30" s="19">
        <v>4.3139112477266123E-2</v>
      </c>
      <c r="C30" s="19">
        <v>3.4999804581568504E-2</v>
      </c>
      <c r="D30" s="19">
        <v>4.0990335192801951E-2</v>
      </c>
      <c r="E30" s="19">
        <v>0</v>
      </c>
      <c r="F30" s="19">
        <v>4.4444915256515331E-2</v>
      </c>
    </row>
    <row r="31" spans="1:9" x14ac:dyDescent="0.25">
      <c r="A31" s="19" t="s">
        <v>246</v>
      </c>
      <c r="B31" s="19">
        <v>1.8926925069675854E-4</v>
      </c>
      <c r="C31" s="19">
        <v>1.5640516129445108E-4</v>
      </c>
      <c r="D31" s="19">
        <v>1.8059313109454936E-4</v>
      </c>
      <c r="E31" s="19">
        <v>0</v>
      </c>
      <c r="F31" s="19">
        <v>1.9818261669196573E-4</v>
      </c>
    </row>
    <row r="32" spans="1:9" x14ac:dyDescent="0.25">
      <c r="A32" s="19" t="s">
        <v>247</v>
      </c>
      <c r="B32" s="19">
        <v>1.141982031568122E-3</v>
      </c>
      <c r="C32" s="19">
        <v>9.0140816152213467E-4</v>
      </c>
      <c r="D32" s="19">
        <v>1.0784705298759814E-3</v>
      </c>
      <c r="E32" s="19">
        <v>0</v>
      </c>
      <c r="F32" s="19">
        <v>1.1437668365457652E-3</v>
      </c>
    </row>
    <row r="34" spans="1:6" s="21" customFormat="1" ht="15.75" thickBot="1" x14ac:dyDescent="0.3"/>
    <row r="37" spans="1:6" x14ac:dyDescent="0.25">
      <c r="A37" s="19"/>
      <c r="B37" s="19" t="s">
        <v>332</v>
      </c>
      <c r="C37" s="19" t="s">
        <v>333</v>
      </c>
      <c r="D37" s="19" t="s">
        <v>334</v>
      </c>
      <c r="E37" s="19" t="s">
        <v>335</v>
      </c>
      <c r="F37" s="19" t="s">
        <v>336</v>
      </c>
    </row>
    <row r="38" spans="1:6" x14ac:dyDescent="0.25">
      <c r="A38" s="19" t="s">
        <v>272</v>
      </c>
      <c r="B38" s="19"/>
      <c r="C38" s="19"/>
      <c r="D38" s="19"/>
      <c r="E38" s="19"/>
      <c r="F38" s="19"/>
    </row>
    <row r="39" spans="1:6" x14ac:dyDescent="0.25">
      <c r="A39" s="19" t="s">
        <v>233</v>
      </c>
      <c r="B39" s="19">
        <v>9.3501426183255382E-2</v>
      </c>
      <c r="C39" s="19">
        <v>1.645729457647287E-2</v>
      </c>
      <c r="D39" s="19">
        <v>6.8729013675130077E-3</v>
      </c>
      <c r="E39" s="19">
        <v>5.0551003579610308E-2</v>
      </c>
      <c r="F39" s="19">
        <v>0</v>
      </c>
    </row>
    <row r="40" spans="1:6" x14ac:dyDescent="0.25">
      <c r="A40" s="19" t="s">
        <v>234</v>
      </c>
      <c r="B40" s="19">
        <v>6.3763299477138574E-2</v>
      </c>
      <c r="C40" s="19">
        <v>1.378282279360858E-2</v>
      </c>
      <c r="D40" s="19">
        <v>6.0320353273857139E-3</v>
      </c>
      <c r="E40" s="19">
        <v>3.514013871169111E-2</v>
      </c>
      <c r="F40" s="19">
        <v>0</v>
      </c>
    </row>
    <row r="41" spans="1:6" x14ac:dyDescent="0.25">
      <c r="A41" s="19" t="s">
        <v>235</v>
      </c>
      <c r="B41" s="19">
        <v>2.7877329036997568E-2</v>
      </c>
      <c r="C41" s="19">
        <v>2.6814986882752168E-3</v>
      </c>
      <c r="D41" s="19">
        <v>9.1906637942479016E-4</v>
      </c>
      <c r="E41" s="19">
        <v>1.4511422411372984E-2</v>
      </c>
      <c r="F41" s="19">
        <v>0</v>
      </c>
    </row>
    <row r="42" spans="1:6" x14ac:dyDescent="0.25">
      <c r="A42" s="19" t="s">
        <v>236</v>
      </c>
      <c r="B42" s="19">
        <v>2.6903538869066643E-2</v>
      </c>
      <c r="C42" s="19">
        <v>1.0475315895142851E-2</v>
      </c>
      <c r="D42" s="19">
        <v>5.0353464313536407E-3</v>
      </c>
      <c r="E42" s="19">
        <v>1.6061289058448537E-2</v>
      </c>
      <c r="F42" s="19">
        <v>0</v>
      </c>
    </row>
    <row r="43" spans="1:6" x14ac:dyDescent="0.25">
      <c r="A43" s="19" t="s">
        <v>237</v>
      </c>
      <c r="B43" s="19">
        <v>8.9824315710743605E-3</v>
      </c>
      <c r="C43" s="19">
        <v>6.2600821019051229E-4</v>
      </c>
      <c r="D43" s="19">
        <v>7.7622516607282787E-5</v>
      </c>
      <c r="E43" s="19">
        <v>4.5674272418695832E-3</v>
      </c>
      <c r="F43" s="19">
        <v>0</v>
      </c>
    </row>
    <row r="44" spans="1:6" x14ac:dyDescent="0.25">
      <c r="A44" s="19" t="s">
        <v>238</v>
      </c>
      <c r="B44" s="19">
        <v>37.783915581555782</v>
      </c>
      <c r="C44" s="19">
        <v>2.7176971597957418</v>
      </c>
      <c r="D44" s="19">
        <v>0.50091003748224749</v>
      </c>
      <c r="E44" s="19">
        <v>19.299001432804122</v>
      </c>
      <c r="F44" s="19">
        <v>0</v>
      </c>
    </row>
    <row r="45" spans="1:6" x14ac:dyDescent="0.25">
      <c r="A45" s="19" t="s">
        <v>273</v>
      </c>
      <c r="B45" s="19"/>
      <c r="C45" s="19"/>
      <c r="D45" s="19"/>
      <c r="E45" s="19"/>
      <c r="F45" s="19"/>
    </row>
    <row r="46" spans="1:6" x14ac:dyDescent="0.25">
      <c r="A46" s="19" t="s">
        <v>240</v>
      </c>
      <c r="B46" s="19">
        <v>1.0756207314326567</v>
      </c>
      <c r="C46" s="19">
        <v>0.47121783597763645</v>
      </c>
      <c r="D46" s="19">
        <v>0.31379934995059411</v>
      </c>
      <c r="E46" s="19">
        <v>0.69790969049384999</v>
      </c>
      <c r="F46" s="19">
        <v>0</v>
      </c>
    </row>
    <row r="47" spans="1:6" x14ac:dyDescent="0.25">
      <c r="A47" s="19" t="s">
        <v>241</v>
      </c>
      <c r="B47" s="19">
        <v>2.9853743526658247</v>
      </c>
      <c r="C47" s="19">
        <v>0.81068111864276371</v>
      </c>
      <c r="D47" s="19">
        <v>0.36539102436778592</v>
      </c>
      <c r="E47" s="19">
        <v>1.6863866184956571</v>
      </c>
      <c r="F47" s="19">
        <v>0</v>
      </c>
    </row>
    <row r="48" spans="1:6" x14ac:dyDescent="0.25">
      <c r="A48" s="19" t="s">
        <v>274</v>
      </c>
      <c r="B48" s="19">
        <v>6.2569281648687101</v>
      </c>
      <c r="C48" s="19">
        <v>1.3772535039449427</v>
      </c>
      <c r="D48" s="19">
        <v>0.61839686751742839</v>
      </c>
      <c r="E48" s="19">
        <v>3.4613443476419445</v>
      </c>
      <c r="F48" s="19">
        <v>0</v>
      </c>
    </row>
    <row r="49" spans="1:6" x14ac:dyDescent="0.25">
      <c r="A49" s="19" t="s">
        <v>243</v>
      </c>
      <c r="B49" s="19">
        <v>1.3419315614827492</v>
      </c>
      <c r="C49" s="19">
        <v>0.29194243138737647</v>
      </c>
      <c r="D49" s="19">
        <v>0.11803610151073836</v>
      </c>
      <c r="E49" s="19">
        <v>0.73512419242862614</v>
      </c>
      <c r="F49" s="19">
        <v>0</v>
      </c>
    </row>
    <row r="50" spans="1:6" x14ac:dyDescent="0.25">
      <c r="A50" s="19" t="s">
        <v>244</v>
      </c>
      <c r="B50" s="19">
        <v>1.4483201392391825</v>
      </c>
      <c r="C50" s="19">
        <v>0.23404745192834719</v>
      </c>
      <c r="D50" s="19">
        <v>0.12203194947923303</v>
      </c>
      <c r="E50" s="19">
        <v>0.79074645475619953</v>
      </c>
      <c r="F50" s="19">
        <v>0</v>
      </c>
    </row>
    <row r="51" spans="1:6" x14ac:dyDescent="0.25">
      <c r="A51" s="19" t="s">
        <v>245</v>
      </c>
      <c r="B51" s="19">
        <v>17.736062761459788</v>
      </c>
      <c r="C51" s="19">
        <v>1.2321048167482167</v>
      </c>
      <c r="D51" s="19">
        <v>0.17288748826096303</v>
      </c>
      <c r="E51" s="19">
        <v>9.02824046100781</v>
      </c>
      <c r="F51" s="19">
        <v>0</v>
      </c>
    </row>
    <row r="52" spans="1:6" x14ac:dyDescent="0.25">
      <c r="A52" s="19" t="s">
        <v>246</v>
      </c>
      <c r="B52" s="19">
        <v>2.5122321338963551E-2</v>
      </c>
      <c r="C52" s="19">
        <v>7.2524387877371177E-3</v>
      </c>
      <c r="D52" s="19">
        <v>3.0503311597660384E-3</v>
      </c>
      <c r="E52" s="19">
        <v>1.4179028608117424E-2</v>
      </c>
      <c r="F52" s="19">
        <v>0</v>
      </c>
    </row>
    <row r="53" spans="1:6" x14ac:dyDescent="0.25">
      <c r="A53" s="19" t="s">
        <v>247</v>
      </c>
      <c r="B53" s="19">
        <v>6.5050676480171835E-2</v>
      </c>
      <c r="C53" s="19">
        <v>1.9536673007940059E-2</v>
      </c>
      <c r="D53" s="19">
        <v>8.8166833902123352E-3</v>
      </c>
      <c r="E53" s="19">
        <v>3.7169862706169919E-2</v>
      </c>
      <c r="F53" s="19">
        <v>0</v>
      </c>
    </row>
    <row r="54" spans="1:6" x14ac:dyDescent="0.25">
      <c r="A54" s="19" t="s">
        <v>248</v>
      </c>
      <c r="B54" s="19">
        <v>10.004456193656399</v>
      </c>
      <c r="C54" s="19">
        <v>2.1216792802750373</v>
      </c>
      <c r="D54" s="19">
        <v>0.92492655668590362</v>
      </c>
      <c r="E54" s="19">
        <v>5.5028253996464267</v>
      </c>
      <c r="F54" s="19">
        <v>0</v>
      </c>
    </row>
    <row r="55" spans="1:6" x14ac:dyDescent="0.25">
      <c r="A55" s="19" t="s">
        <v>249</v>
      </c>
      <c r="B55" s="19">
        <v>9.8901242957514693E-2</v>
      </c>
      <c r="C55" s="19">
        <v>2.5670677944685093E-2</v>
      </c>
      <c r="D55" s="19">
        <v>1.2293596615749384E-2</v>
      </c>
      <c r="E55" s="19">
        <v>5.5961171901267454E-2</v>
      </c>
      <c r="F55" s="19">
        <v>0</v>
      </c>
    </row>
    <row r="56" spans="1:6" x14ac:dyDescent="0.25">
      <c r="A56" s="19" t="s">
        <v>250</v>
      </c>
      <c r="B56" s="19">
        <v>5952.1962980944618</v>
      </c>
      <c r="C56" s="19">
        <v>981.07828346368183</v>
      </c>
      <c r="D56" s="19">
        <v>394.61613023240284</v>
      </c>
      <c r="E56" s="19">
        <v>3196.748050868453</v>
      </c>
      <c r="F56" s="19">
        <v>0</v>
      </c>
    </row>
    <row r="57" spans="1:6" x14ac:dyDescent="0.25">
      <c r="A57" s="19" t="s">
        <v>262</v>
      </c>
      <c r="B57" s="19">
        <v>5960.2399519282835</v>
      </c>
      <c r="C57" s="19">
        <v>983.82083985796498</v>
      </c>
      <c r="D57" s="19">
        <v>396.1683241018506</v>
      </c>
      <c r="E57" s="19">
        <v>3201.5732388519382</v>
      </c>
      <c r="F57" s="19">
        <v>0</v>
      </c>
    </row>
    <row r="58" spans="1:6" x14ac:dyDescent="0.25">
      <c r="A58" s="19" t="s">
        <v>263</v>
      </c>
      <c r="B58" s="19">
        <v>6517.9237056296661</v>
      </c>
      <c r="C58" s="19">
        <v>1068.1303672536019</v>
      </c>
      <c r="D58" s="19">
        <v>428.10423029623229</v>
      </c>
      <c r="E58" s="19">
        <v>3498.5912097593496</v>
      </c>
      <c r="F58" s="19">
        <v>0</v>
      </c>
    </row>
    <row r="59" spans="1:6" x14ac:dyDescent="0.25">
      <c r="A59" s="19" t="s">
        <v>275</v>
      </c>
      <c r="B59" s="19"/>
      <c r="C59" s="19"/>
      <c r="D59" s="19"/>
      <c r="E59" s="19"/>
      <c r="F59" s="19"/>
    </row>
    <row r="60" spans="1:6" x14ac:dyDescent="0.25">
      <c r="A60" s="19" t="s">
        <v>240</v>
      </c>
      <c r="B60" s="19">
        <v>4.8101528301944335E-2</v>
      </c>
      <c r="C60" s="19">
        <v>9.3182219820127834E-3</v>
      </c>
      <c r="D60" s="19">
        <v>3.9255260371706411E-3</v>
      </c>
      <c r="E60" s="19">
        <v>2.619906637906954E-2</v>
      </c>
      <c r="F60" s="19">
        <v>0</v>
      </c>
    </row>
    <row r="61" spans="1:6" x14ac:dyDescent="0.25">
      <c r="A61" s="19" t="s">
        <v>241</v>
      </c>
      <c r="B61" s="19">
        <v>0.33911812073249076</v>
      </c>
      <c r="C61" s="19">
        <v>5.9694975380543809E-2</v>
      </c>
      <c r="D61" s="19">
        <v>2.6669616108583382E-2</v>
      </c>
      <c r="E61" s="19">
        <v>0.18420615213995747</v>
      </c>
      <c r="F61" s="19">
        <v>0</v>
      </c>
    </row>
    <row r="62" spans="1:6" x14ac:dyDescent="0.25">
      <c r="A62" s="19" t="s">
        <v>242</v>
      </c>
      <c r="B62" s="19">
        <v>0.70244873751899117</v>
      </c>
      <c r="C62" s="19">
        <v>0.10546992643345704</v>
      </c>
      <c r="D62" s="19">
        <v>4.5438770387951688E-2</v>
      </c>
      <c r="E62" s="19">
        <v>0.37670319581542178</v>
      </c>
      <c r="F62" s="19">
        <v>0</v>
      </c>
    </row>
    <row r="63" spans="1:6" x14ac:dyDescent="0.25">
      <c r="A63" s="19" t="s">
        <v>243</v>
      </c>
      <c r="B63" s="19">
        <v>7.3860551462224117E-2</v>
      </c>
      <c r="C63" s="19">
        <v>8.7658399018482689E-3</v>
      </c>
      <c r="D63" s="19">
        <v>3.6773603412088192E-3</v>
      </c>
      <c r="E63" s="19">
        <v>3.9063725304424729E-2</v>
      </c>
      <c r="F63" s="19">
        <v>0</v>
      </c>
    </row>
    <row r="64" spans="1:6" x14ac:dyDescent="0.25">
      <c r="A64" s="19" t="s">
        <v>244</v>
      </c>
      <c r="B64" s="19">
        <v>6.0024423549432541E-2</v>
      </c>
      <c r="C64" s="19">
        <v>7.2414510697180225E-3</v>
      </c>
      <c r="D64" s="19">
        <v>3.0705803799067144E-3</v>
      </c>
      <c r="E64" s="19">
        <v>3.1786708105981637E-2</v>
      </c>
      <c r="F64" s="19">
        <v>0</v>
      </c>
    </row>
    <row r="65" spans="1:18" x14ac:dyDescent="0.25">
      <c r="A65" s="19" t="s">
        <v>245</v>
      </c>
      <c r="B65" s="19">
        <v>0.72722318258249063</v>
      </c>
      <c r="C65" s="19">
        <v>8.1023353809735341E-2</v>
      </c>
      <c r="D65" s="19">
        <v>3.2379937164272933E-2</v>
      </c>
      <c r="E65" s="19">
        <v>0.38271990150413832</v>
      </c>
      <c r="F65" s="19">
        <v>0</v>
      </c>
    </row>
    <row r="66" spans="1:18" x14ac:dyDescent="0.25">
      <c r="A66" s="19" t="s">
        <v>246</v>
      </c>
      <c r="B66" s="19">
        <v>2.9910563281969993E-3</v>
      </c>
      <c r="C66" s="19">
        <v>3.7024357869892393E-4</v>
      </c>
      <c r="D66" s="19">
        <v>1.4954126871410638E-4</v>
      </c>
      <c r="E66" s="19">
        <v>1.5822331617053808E-3</v>
      </c>
      <c r="F66" s="19">
        <v>0</v>
      </c>
    </row>
    <row r="67" spans="1:18" x14ac:dyDescent="0.25">
      <c r="A67" s="19" t="s">
        <v>247</v>
      </c>
      <c r="B67" s="19">
        <v>1.1516094314452533E-2</v>
      </c>
      <c r="C67" s="19">
        <v>1.6928491865244421E-3</v>
      </c>
      <c r="D67" s="19">
        <v>8.1454921112681083E-4</v>
      </c>
      <c r="E67" s="19">
        <v>6.2102682522236392E-3</v>
      </c>
      <c r="F67" s="19">
        <v>0</v>
      </c>
    </row>
    <row r="69" spans="1:18" s="21" customFormat="1" ht="15.75" thickBot="1" x14ac:dyDescent="0.3"/>
    <row r="71" spans="1:18" x14ac:dyDescent="0.25">
      <c r="A71" s="19" t="s">
        <v>352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</row>
    <row r="72" spans="1:18" x14ac:dyDescent="0.25">
      <c r="A72" s="19"/>
      <c r="B72" s="19" t="s">
        <v>353</v>
      </c>
      <c r="C72" s="19"/>
      <c r="D72" s="19"/>
      <c r="E72" s="19"/>
      <c r="F72" s="19"/>
      <c r="G72" s="19"/>
      <c r="H72" s="19"/>
      <c r="I72" s="19"/>
      <c r="J72" s="19" t="s">
        <v>354</v>
      </c>
      <c r="K72" s="19"/>
      <c r="L72" s="19"/>
      <c r="M72" s="19"/>
      <c r="N72" s="19" t="s">
        <v>355</v>
      </c>
      <c r="O72" s="19"/>
      <c r="P72" s="19"/>
      <c r="Q72" s="19"/>
      <c r="R72" s="19" t="s">
        <v>356</v>
      </c>
    </row>
    <row r="73" spans="1:18" x14ac:dyDescent="0.25">
      <c r="A73" s="19"/>
      <c r="B73" s="19" t="s">
        <v>357</v>
      </c>
      <c r="C73" s="19" t="s">
        <v>358</v>
      </c>
      <c r="D73" s="19" t="s">
        <v>359</v>
      </c>
      <c r="E73" s="19" t="s">
        <v>360</v>
      </c>
      <c r="F73" s="19" t="s">
        <v>361</v>
      </c>
      <c r="G73" s="19"/>
      <c r="H73" s="19" t="s">
        <v>362</v>
      </c>
      <c r="I73" s="19"/>
      <c r="J73" s="19" t="s">
        <v>363</v>
      </c>
      <c r="K73" s="19"/>
      <c r="L73" s="19" t="s">
        <v>363</v>
      </c>
      <c r="M73" s="19"/>
      <c r="N73" s="19" t="s">
        <v>364</v>
      </c>
      <c r="O73" s="19"/>
      <c r="P73" s="19" t="s">
        <v>365</v>
      </c>
      <c r="Q73" s="19"/>
      <c r="R73" s="19"/>
    </row>
    <row r="74" spans="1:18" x14ac:dyDescent="0.25">
      <c r="A74" s="19" t="s">
        <v>366</v>
      </c>
      <c r="B74" s="19"/>
      <c r="C74" s="19"/>
      <c r="D74" s="19"/>
      <c r="E74" s="19"/>
      <c r="F74" s="19" t="s">
        <v>367</v>
      </c>
      <c r="G74" s="19" t="s">
        <v>368</v>
      </c>
      <c r="H74" s="19" t="s">
        <v>367</v>
      </c>
      <c r="I74" s="19" t="s">
        <v>368</v>
      </c>
      <c r="J74" s="19" t="s">
        <v>367</v>
      </c>
      <c r="K74" s="19" t="s">
        <v>368</v>
      </c>
      <c r="L74" s="19" t="s">
        <v>367</v>
      </c>
      <c r="M74" s="19" t="s">
        <v>368</v>
      </c>
      <c r="N74" s="19" t="s">
        <v>367</v>
      </c>
      <c r="O74" s="19" t="s">
        <v>368</v>
      </c>
      <c r="P74" s="19" t="s">
        <v>367</v>
      </c>
      <c r="Q74" s="19" t="s">
        <v>368</v>
      </c>
      <c r="R74" s="19" t="s">
        <v>367</v>
      </c>
    </row>
    <row r="75" spans="1:18" x14ac:dyDescent="0.25">
      <c r="A75" s="19" t="s">
        <v>233</v>
      </c>
      <c r="B75" s="19">
        <v>16.382968376475532</v>
      </c>
      <c r="C75" s="19">
        <v>25.184694723947988</v>
      </c>
      <c r="D75" s="19">
        <v>15.710974518853963</v>
      </c>
      <c r="E75" s="19">
        <v>4.1601871342044845</v>
      </c>
      <c r="F75" s="19">
        <v>57.278637619277475</v>
      </c>
      <c r="G75" s="19">
        <v>2.8639318809638738E-2</v>
      </c>
      <c r="H75" s="19">
        <v>61.43882475348196</v>
      </c>
      <c r="I75" s="19">
        <v>3.071941237674098E-2</v>
      </c>
      <c r="J75" s="19">
        <v>27.111896737192261</v>
      </c>
      <c r="K75" s="19">
        <v>1.3555948368596131E-2</v>
      </c>
      <c r="L75" s="19">
        <v>31.272083871396745</v>
      </c>
      <c r="M75" s="19">
        <v>1.5636041935698373E-2</v>
      </c>
      <c r="N75" s="19">
        <v>46.424644249903217</v>
      </c>
      <c r="O75" s="19">
        <v>2.3212322124951609E-2</v>
      </c>
      <c r="P75" s="19">
        <v>50.584831384107702</v>
      </c>
      <c r="Q75" s="19">
        <v>2.529241569205385E-2</v>
      </c>
      <c r="R75" s="19">
        <v>46.424644249903217</v>
      </c>
    </row>
    <row r="76" spans="1:18" x14ac:dyDescent="0.25">
      <c r="A76" s="19" t="s">
        <v>234</v>
      </c>
      <c r="B76" s="19">
        <v>15.440597457389391</v>
      </c>
      <c r="C76" s="19">
        <v>17.606072950023094</v>
      </c>
      <c r="D76" s="19">
        <v>11.67394132801935</v>
      </c>
      <c r="E76" s="19">
        <v>3.3179681165501975</v>
      </c>
      <c r="F76" s="19">
        <v>44.720611735431831</v>
      </c>
      <c r="G76" s="19">
        <v>2.2360305867715917E-2</v>
      </c>
      <c r="H76" s="19">
        <v>48.038579851982028</v>
      </c>
      <c r="I76" s="19">
        <v>2.4019289925991016E-2</v>
      </c>
      <c r="J76" s="19">
        <v>20.518205961271143</v>
      </c>
      <c r="K76" s="19">
        <v>1.0259102980635572E-2</v>
      </c>
      <c r="L76" s="19">
        <v>23.83617407782134</v>
      </c>
      <c r="M76" s="19">
        <v>1.1918087038910671E-2</v>
      </c>
      <c r="N76" s="19">
        <v>36.012586137888817</v>
      </c>
      <c r="O76" s="19">
        <v>1.8006293068944409E-2</v>
      </c>
      <c r="P76" s="19">
        <v>39.330554254439015</v>
      </c>
      <c r="Q76" s="19">
        <v>1.9665277127219508E-2</v>
      </c>
      <c r="R76" s="19">
        <v>36.012586137888817</v>
      </c>
    </row>
    <row r="77" spans="1:18" x14ac:dyDescent="0.25">
      <c r="A77" s="19" t="s">
        <v>235</v>
      </c>
      <c r="B77" s="19">
        <v>1.4060636192638791</v>
      </c>
      <c r="C77" s="19">
        <v>7.956751295785196</v>
      </c>
      <c r="D77" s="19">
        <v>4.3591320208907174</v>
      </c>
      <c r="E77" s="19">
        <v>0.98458220700545007</v>
      </c>
      <c r="F77" s="19">
        <v>13.721946935939792</v>
      </c>
      <c r="G77" s="19">
        <v>6.8609734679698966E-3</v>
      </c>
      <c r="H77" s="19">
        <v>14.706529142945243</v>
      </c>
      <c r="I77" s="19">
        <v>7.3532645714726218E-3</v>
      </c>
      <c r="J77" s="19">
        <v>7.8969995499264227</v>
      </c>
      <c r="K77" s="19">
        <v>3.9484997749632111E-3</v>
      </c>
      <c r="L77" s="19">
        <v>8.8815817569318725</v>
      </c>
      <c r="M77" s="19">
        <v>4.4407908784659363E-3</v>
      </c>
      <c r="N77" s="19">
        <v>11.626130866452183</v>
      </c>
      <c r="O77" s="19">
        <v>5.8130654332260914E-3</v>
      </c>
      <c r="P77" s="19">
        <v>12.610713073457633</v>
      </c>
      <c r="Q77" s="19">
        <v>6.3053565367288166E-3</v>
      </c>
      <c r="R77" s="19">
        <v>11.626130866452183</v>
      </c>
    </row>
    <row r="78" spans="1:18" x14ac:dyDescent="0.25">
      <c r="A78" s="19" t="s">
        <v>236</v>
      </c>
      <c r="B78" s="19">
        <v>7.2049144674593339</v>
      </c>
      <c r="C78" s="19">
        <v>8.8522645758622041</v>
      </c>
      <c r="D78" s="19">
        <v>5.677818400115239</v>
      </c>
      <c r="E78" s="19">
        <v>1.4294223031165076</v>
      </c>
      <c r="F78" s="19">
        <v>21.734997443436779</v>
      </c>
      <c r="G78" s="19">
        <v>1.086749872171839E-2</v>
      </c>
      <c r="H78" s="19">
        <v>23.164419746553286</v>
      </c>
      <c r="I78" s="19">
        <v>1.1582209873276643E-2</v>
      </c>
      <c r="J78" s="19">
        <v>10.34760957071277</v>
      </c>
      <c r="K78" s="19">
        <v>5.1738047853563847E-3</v>
      </c>
      <c r="L78" s="19">
        <v>11.777031873829277</v>
      </c>
      <c r="M78" s="19">
        <v>5.8885159369146383E-3</v>
      </c>
      <c r="N78" s="19">
        <v>17.63781528683068</v>
      </c>
      <c r="O78" s="19">
        <v>8.8189076434153392E-3</v>
      </c>
      <c r="P78" s="19">
        <v>19.067237589947187</v>
      </c>
      <c r="Q78" s="19">
        <v>9.5336187949735928E-3</v>
      </c>
      <c r="R78" s="19">
        <v>17.63781528683068</v>
      </c>
    </row>
    <row r="79" spans="1:18" x14ac:dyDescent="0.25">
      <c r="A79" s="19" t="s">
        <v>237</v>
      </c>
      <c r="B79" s="19">
        <v>6.829619370666177</v>
      </c>
      <c r="C79" s="19">
        <v>0.79705707837569417</v>
      </c>
      <c r="D79" s="19">
        <v>1.6369909070133914</v>
      </c>
      <c r="E79" s="19">
        <v>0.90396360642823959</v>
      </c>
      <c r="F79" s="19">
        <v>9.2636673560552616</v>
      </c>
      <c r="G79" s="19">
        <v>4.6318336780276307E-3</v>
      </c>
      <c r="H79" s="19">
        <v>10.167630962483502</v>
      </c>
      <c r="I79" s="19">
        <v>5.0838154812417507E-3</v>
      </c>
      <c r="J79" s="19">
        <v>2.2735968406319507</v>
      </c>
      <c r="K79" s="19">
        <v>1.1367984203159752E-3</v>
      </c>
      <c r="L79" s="19">
        <v>3.1775604470601904</v>
      </c>
      <c r="M79" s="19">
        <v>1.5887802235300952E-3</v>
      </c>
      <c r="N79" s="19">
        <v>6.7486399846059539</v>
      </c>
      <c r="O79" s="19">
        <v>3.374319992302977E-3</v>
      </c>
      <c r="P79" s="19">
        <v>7.6526035910341932</v>
      </c>
      <c r="Q79" s="19">
        <v>3.8263017955170965E-3</v>
      </c>
      <c r="R79" s="19">
        <v>6.7486399846059539</v>
      </c>
    </row>
    <row r="80" spans="1:18" x14ac:dyDescent="0.25">
      <c r="A80" s="19" t="s">
        <v>238</v>
      </c>
      <c r="B80" s="19">
        <v>1214.3898013505664</v>
      </c>
      <c r="C80" s="19">
        <v>3863.3559958298133</v>
      </c>
      <c r="D80" s="19">
        <v>2062.9111780243293</v>
      </c>
      <c r="E80" s="19">
        <v>292.73476285898084</v>
      </c>
      <c r="F80" s="19">
        <v>7140.6569752047089</v>
      </c>
      <c r="G80" s="19">
        <v>3.5703284876023544</v>
      </c>
      <c r="H80" s="19">
        <v>7433.3917380636894</v>
      </c>
      <c r="I80" s="19">
        <v>3.7166958690318448</v>
      </c>
      <c r="J80" s="19">
        <v>2762.4707181335739</v>
      </c>
      <c r="K80" s="19">
        <v>1.381235359066787</v>
      </c>
      <c r="L80" s="19">
        <v>3055.2054809925548</v>
      </c>
      <c r="M80" s="19">
        <v>1.5276027404962773</v>
      </c>
      <c r="N80" s="19">
        <v>5565.3855599105145</v>
      </c>
      <c r="O80" s="19">
        <v>2.7826927799552572</v>
      </c>
      <c r="P80" s="19">
        <v>5858.120322769495</v>
      </c>
      <c r="Q80" s="19">
        <v>2.9290601613847476</v>
      </c>
      <c r="R80" s="19">
        <v>5565.3855599105145</v>
      </c>
    </row>
    <row r="81" spans="1:18" x14ac:dyDescent="0.25">
      <c r="A81" s="19" t="s">
        <v>273</v>
      </c>
      <c r="B81" s="19"/>
      <c r="C81" s="19"/>
      <c r="D81" s="19"/>
      <c r="E81" s="19"/>
      <c r="F81" s="19" t="s">
        <v>367</v>
      </c>
      <c r="G81" s="19" t="s">
        <v>368</v>
      </c>
      <c r="H81" s="19" t="s">
        <v>367</v>
      </c>
      <c r="I81" s="19" t="s">
        <v>368</v>
      </c>
      <c r="J81" s="19" t="s">
        <v>367</v>
      </c>
      <c r="K81" s="19" t="s">
        <v>368</v>
      </c>
      <c r="L81" s="19" t="s">
        <v>367</v>
      </c>
      <c r="M81" s="19" t="s">
        <v>368</v>
      </c>
      <c r="N81" s="19" t="s">
        <v>367</v>
      </c>
      <c r="O81" s="19" t="s">
        <v>368</v>
      </c>
      <c r="P81" s="19" t="s">
        <v>367</v>
      </c>
      <c r="Q81" s="19" t="s">
        <v>368</v>
      </c>
      <c r="R81" s="19" t="s">
        <v>367</v>
      </c>
    </row>
    <row r="82" spans="1:18" x14ac:dyDescent="0.25">
      <c r="A82" s="19" t="s">
        <v>240</v>
      </c>
      <c r="B82" s="19">
        <v>932.43940395135792</v>
      </c>
      <c r="C82" s="19">
        <v>217.2746896758344</v>
      </c>
      <c r="D82" s="19">
        <v>161.54188905555873</v>
      </c>
      <c r="E82" s="19">
        <v>35.910714488277208</v>
      </c>
      <c r="F82" s="19">
        <v>1311.255982682751</v>
      </c>
      <c r="G82" s="19">
        <v>0.6556279913413755</v>
      </c>
      <c r="H82" s="19">
        <v>1347.1666971710281</v>
      </c>
      <c r="I82" s="19">
        <v>0.67358334858551405</v>
      </c>
      <c r="J82" s="19">
        <v>351.6601520539017</v>
      </c>
      <c r="K82" s="19">
        <v>0.17583007602695086</v>
      </c>
      <c r="L82" s="19">
        <v>387.57086654217892</v>
      </c>
      <c r="M82" s="19">
        <v>0.19378543327108946</v>
      </c>
      <c r="N82" s="19">
        <v>965.99340282249091</v>
      </c>
      <c r="O82" s="19">
        <v>0.48299670141124545</v>
      </c>
      <c r="P82" s="19">
        <v>1001.9041173107681</v>
      </c>
      <c r="Q82" s="19">
        <v>0.50095205865538406</v>
      </c>
      <c r="R82" s="19">
        <v>965.99340282249091</v>
      </c>
    </row>
    <row r="83" spans="1:18" x14ac:dyDescent="0.25">
      <c r="A83" s="19" t="s">
        <v>241</v>
      </c>
      <c r="B83" s="19">
        <v>1723.955094152039</v>
      </c>
      <c r="C83" s="19">
        <v>829.25978133340834</v>
      </c>
      <c r="D83" s="19">
        <v>575.41895730025794</v>
      </c>
      <c r="E83" s="19">
        <v>145.20384909987794</v>
      </c>
      <c r="F83" s="19">
        <v>3128.6338327857056</v>
      </c>
      <c r="G83" s="19">
        <v>1.5643169163928528</v>
      </c>
      <c r="H83" s="19">
        <v>3273.8376818855836</v>
      </c>
      <c r="I83" s="19">
        <v>1.6369188409427917</v>
      </c>
      <c r="J83" s="19">
        <v>1046.509721426685</v>
      </c>
      <c r="K83" s="19">
        <v>0.52325486071334248</v>
      </c>
      <c r="L83" s="19">
        <v>1191.713570526563</v>
      </c>
      <c r="M83" s="19">
        <v>0.59585678526328145</v>
      </c>
      <c r="N83" s="19">
        <v>2379.4855775187298</v>
      </c>
      <c r="O83" s="19">
        <v>1.1897427887593648</v>
      </c>
      <c r="P83" s="19">
        <v>2524.6894266186077</v>
      </c>
      <c r="Q83" s="19">
        <v>1.262344713309304</v>
      </c>
      <c r="R83" s="19">
        <v>2379.4855775187298</v>
      </c>
    </row>
    <row r="84" spans="1:18" x14ac:dyDescent="0.25">
      <c r="A84" s="19" t="s">
        <v>274</v>
      </c>
      <c r="B84" s="19">
        <v>2283.3198241986793</v>
      </c>
      <c r="C84" s="19">
        <v>1447.2162991937653</v>
      </c>
      <c r="D84" s="19">
        <v>1011.2380534794981</v>
      </c>
      <c r="E84" s="19">
        <v>300.36927966334611</v>
      </c>
      <c r="F84" s="19">
        <v>4741.7741768719425</v>
      </c>
      <c r="G84" s="19">
        <v>2.3708870884359712</v>
      </c>
      <c r="H84" s="19">
        <v>5042.1434565352884</v>
      </c>
      <c r="I84" s="19">
        <v>2.521071728267644</v>
      </c>
      <c r="J84" s="19">
        <v>2619.4421999166557</v>
      </c>
      <c r="K84" s="19">
        <v>1.3097210999583278</v>
      </c>
      <c r="L84" s="19">
        <v>2919.811479580002</v>
      </c>
      <c r="M84" s="19">
        <v>1.459905739790001</v>
      </c>
      <c r="N84" s="19">
        <v>3978.1591315634305</v>
      </c>
      <c r="O84" s="19">
        <v>1.9890795657817153</v>
      </c>
      <c r="P84" s="19">
        <v>4278.5284112267764</v>
      </c>
      <c r="Q84" s="19">
        <v>2.1392642056133884</v>
      </c>
      <c r="R84" s="19">
        <v>3978.1591315634305</v>
      </c>
    </row>
    <row r="85" spans="1:18" x14ac:dyDescent="0.25">
      <c r="A85" s="19" t="s">
        <v>243</v>
      </c>
      <c r="B85" s="19">
        <v>534.96818587944256</v>
      </c>
      <c r="C85" s="19">
        <v>177.18635598781091</v>
      </c>
      <c r="D85" s="19">
        <v>131.96035504758419</v>
      </c>
      <c r="E85" s="19">
        <v>46.344949713469191</v>
      </c>
      <c r="F85" s="19">
        <v>844.11489691483757</v>
      </c>
      <c r="G85" s="19">
        <v>0.42205744845741877</v>
      </c>
      <c r="H85" s="19">
        <v>890.45984662830676</v>
      </c>
      <c r="I85" s="19">
        <v>0.4452299233141534</v>
      </c>
      <c r="J85" s="19">
        <v>297.70963868538587</v>
      </c>
      <c r="K85" s="19">
        <v>0.14885481934269293</v>
      </c>
      <c r="L85" s="19">
        <v>344.05458839885506</v>
      </c>
      <c r="M85" s="19">
        <v>0.17202729419942753</v>
      </c>
      <c r="N85" s="19">
        <v>647.51828500388092</v>
      </c>
      <c r="O85" s="19">
        <v>0.32375914250194043</v>
      </c>
      <c r="P85" s="19">
        <v>693.86323471735011</v>
      </c>
      <c r="Q85" s="19">
        <v>0.34693161735867506</v>
      </c>
      <c r="R85" s="19">
        <v>647.51828500388092</v>
      </c>
    </row>
    <row r="86" spans="1:18" x14ac:dyDescent="0.25">
      <c r="A86" s="19" t="s">
        <v>244</v>
      </c>
      <c r="B86" s="19">
        <v>408.0427959272331</v>
      </c>
      <c r="C86" s="19">
        <v>102.65102301185863</v>
      </c>
      <c r="D86" s="19">
        <v>75.554577208009619</v>
      </c>
      <c r="E86" s="19">
        <v>25.150528708154845</v>
      </c>
      <c r="F86" s="19">
        <v>586.2483961471014</v>
      </c>
      <c r="G86" s="19">
        <v>0.29312419807355072</v>
      </c>
      <c r="H86" s="19">
        <v>611.39892485525627</v>
      </c>
      <c r="I86" s="19">
        <v>0.30569946242762813</v>
      </c>
      <c r="J86" s="19">
        <v>203.14305597320467</v>
      </c>
      <c r="K86" s="19">
        <v>0.10157152798660234</v>
      </c>
      <c r="L86" s="19">
        <v>228.2935846813595</v>
      </c>
      <c r="M86" s="19">
        <v>0.11414679234067976</v>
      </c>
      <c r="N86" s="19">
        <v>448.40709475253334</v>
      </c>
      <c r="O86" s="19">
        <v>0.22420354737626666</v>
      </c>
      <c r="P86" s="19">
        <v>473.55762346068821</v>
      </c>
      <c r="Q86" s="19">
        <v>0.2367788117303441</v>
      </c>
      <c r="R86" s="19">
        <v>448.40709475253334</v>
      </c>
    </row>
    <row r="87" spans="1:18" x14ac:dyDescent="0.25">
      <c r="A87" s="19" t="s">
        <v>245</v>
      </c>
      <c r="B87" s="19">
        <v>569.53421995205122</v>
      </c>
      <c r="C87" s="19">
        <v>1009.0056463870095</v>
      </c>
      <c r="D87" s="19">
        <v>668.9861923156426</v>
      </c>
      <c r="E87" s="19">
        <v>209.89068311691918</v>
      </c>
      <c r="F87" s="19">
        <v>2247.5260586547033</v>
      </c>
      <c r="G87" s="19">
        <v>1.1237630293273517</v>
      </c>
      <c r="H87" s="19">
        <v>2457.4167417716226</v>
      </c>
      <c r="I87" s="19">
        <v>1.2287083708858113</v>
      </c>
      <c r="J87" s="19">
        <v>6263.5450760148633</v>
      </c>
      <c r="K87" s="19">
        <v>3.1317725380074317</v>
      </c>
      <c r="L87" s="19">
        <v>6473.4357591317821</v>
      </c>
      <c r="M87" s="19">
        <v>3.2367178795658909</v>
      </c>
      <c r="N87" s="19">
        <v>3692.4897011008889</v>
      </c>
      <c r="O87" s="19">
        <v>1.8462448505504445</v>
      </c>
      <c r="P87" s="19">
        <v>3902.3803842178081</v>
      </c>
      <c r="Q87" s="19">
        <v>1.9511901921089041</v>
      </c>
      <c r="R87" s="19">
        <v>3692.4897011008889</v>
      </c>
    </row>
    <row r="88" spans="1:18" x14ac:dyDescent="0.25">
      <c r="A88" s="19" t="s">
        <v>246</v>
      </c>
      <c r="B88" s="19">
        <v>11.232011117688122</v>
      </c>
      <c r="C88" s="19">
        <v>6.4240618699474794</v>
      </c>
      <c r="D88" s="19">
        <v>5.0325157096347404</v>
      </c>
      <c r="E88" s="19">
        <v>1.586875251646084</v>
      </c>
      <c r="F88" s="19">
        <v>22.688588697270344</v>
      </c>
      <c r="G88" s="19">
        <v>1.1344294348635172E-2</v>
      </c>
      <c r="H88" s="19">
        <v>24.275463948916428</v>
      </c>
      <c r="I88" s="19">
        <v>1.2137731974458214E-2</v>
      </c>
      <c r="J88" s="19">
        <v>17.285427386316137</v>
      </c>
      <c r="K88" s="19">
        <v>8.6427136931580689E-3</v>
      </c>
      <c r="L88" s="19">
        <v>18.872302637962221</v>
      </c>
      <c r="M88" s="19">
        <v>9.4361513189811109E-3</v>
      </c>
      <c r="N88" s="19">
        <v>20.744531257589021</v>
      </c>
      <c r="O88" s="19">
        <v>1.037226562879451E-2</v>
      </c>
      <c r="P88" s="19">
        <v>22.331406509235105</v>
      </c>
      <c r="Q88" s="19">
        <v>1.1165703254617552E-2</v>
      </c>
      <c r="R88" s="19">
        <v>20.744531257589021</v>
      </c>
    </row>
    <row r="89" spans="1:18" x14ac:dyDescent="0.25">
      <c r="A89" s="19" t="s">
        <v>247</v>
      </c>
      <c r="B89" s="19">
        <v>28.592396324076766</v>
      </c>
      <c r="C89" s="19">
        <v>24.894321148298232</v>
      </c>
      <c r="D89" s="19">
        <v>15.772100321982581</v>
      </c>
      <c r="E89" s="19">
        <v>4.0400447361979221</v>
      </c>
      <c r="F89" s="19">
        <v>69.258817794357583</v>
      </c>
      <c r="G89" s="19">
        <v>3.462940889717879E-2</v>
      </c>
      <c r="H89" s="19">
        <v>73.29886253055551</v>
      </c>
      <c r="I89" s="19">
        <v>3.6649431265277754E-2</v>
      </c>
      <c r="J89" s="19">
        <v>56.678421689444889</v>
      </c>
      <c r="K89" s="19">
        <v>2.8339210844722445E-2</v>
      </c>
      <c r="L89" s="19">
        <v>60.718466425642809</v>
      </c>
      <c r="M89" s="19">
        <v>3.0359233212821406E-2</v>
      </c>
      <c r="N89" s="19">
        <v>64.732391275809988</v>
      </c>
      <c r="O89" s="19">
        <v>3.2366195637904993E-2</v>
      </c>
      <c r="P89" s="19">
        <v>68.772436012007915</v>
      </c>
      <c r="Q89" s="19">
        <v>3.4386218006003957E-2</v>
      </c>
      <c r="R89" s="19">
        <v>64.732391275809988</v>
      </c>
    </row>
    <row r="90" spans="1:18" x14ac:dyDescent="0.25">
      <c r="A90" s="19" t="s">
        <v>248</v>
      </c>
      <c r="B90" s="19">
        <v>1880.2589518033565</v>
      </c>
      <c r="C90" s="19">
        <v>2635.5230937722677</v>
      </c>
      <c r="D90" s="19">
        <v>1701.6987814277395</v>
      </c>
      <c r="E90" s="19">
        <v>443.22123989698434</v>
      </c>
      <c r="F90" s="19">
        <v>6217.4808270033645</v>
      </c>
      <c r="G90" s="19">
        <v>3.1087404135016823</v>
      </c>
      <c r="H90" s="19">
        <v>6660.7020669003487</v>
      </c>
      <c r="I90" s="19">
        <v>3.3303510334501745</v>
      </c>
      <c r="J90" s="19">
        <v>2971.3405450639693</v>
      </c>
      <c r="K90" s="19">
        <v>1.4856702725319846</v>
      </c>
      <c r="L90" s="19">
        <v>3414.5617849609534</v>
      </c>
      <c r="M90" s="19">
        <v>1.7072808924804768</v>
      </c>
      <c r="N90" s="19">
        <v>5049.5195535615703</v>
      </c>
      <c r="O90" s="19">
        <v>2.524759776780785</v>
      </c>
      <c r="P90" s="19">
        <v>5492.7407934585544</v>
      </c>
      <c r="Q90" s="19">
        <v>2.7463703967292772</v>
      </c>
      <c r="R90" s="19">
        <v>5049.5195535615703</v>
      </c>
    </row>
    <row r="91" spans="1:18" x14ac:dyDescent="0.25">
      <c r="A91" s="19" t="s">
        <v>249</v>
      </c>
      <c r="B91" s="19">
        <v>1365.6628084071879</v>
      </c>
      <c r="C91" s="19">
        <v>33.428960321414252</v>
      </c>
      <c r="D91" s="19">
        <v>22.182997442916086</v>
      </c>
      <c r="E91" s="19">
        <v>5.5222130661319229</v>
      </c>
      <c r="F91" s="19">
        <v>1421.2747661715182</v>
      </c>
      <c r="G91" s="19">
        <v>0.71063738308575908</v>
      </c>
      <c r="H91" s="19">
        <v>1426.79697923765</v>
      </c>
      <c r="I91" s="19">
        <v>0.71339848961882502</v>
      </c>
      <c r="J91" s="19">
        <v>137.88938543096211</v>
      </c>
      <c r="K91" s="19">
        <v>6.8944692715481051E-2</v>
      </c>
      <c r="L91" s="19">
        <v>143.41159849709402</v>
      </c>
      <c r="M91" s="19">
        <v>7.1705799248547003E-2</v>
      </c>
      <c r="N91" s="19">
        <v>959.51270618106616</v>
      </c>
      <c r="O91" s="19">
        <v>0.47975635309053311</v>
      </c>
      <c r="P91" s="19">
        <v>965.0349192471981</v>
      </c>
      <c r="Q91" s="19">
        <v>0.48251745962359904</v>
      </c>
      <c r="R91" s="19">
        <v>959.51270618106616</v>
      </c>
    </row>
    <row r="92" spans="1:18" x14ac:dyDescent="0.25">
      <c r="A92" s="19" t="s">
        <v>250</v>
      </c>
      <c r="B92" s="19">
        <v>1208523.3205106177</v>
      </c>
      <c r="C92" s="19">
        <v>1378460.9149805843</v>
      </c>
      <c r="D92" s="19">
        <v>911617.65735665429</v>
      </c>
      <c r="E92" s="19">
        <v>259338.29612440921</v>
      </c>
      <c r="F92" s="19">
        <v>3498601.8928478565</v>
      </c>
      <c r="G92" s="19">
        <v>1749.3009464239283</v>
      </c>
      <c r="H92" s="19">
        <v>3757940.1889722659</v>
      </c>
      <c r="I92" s="19">
        <v>1878.9700944861329</v>
      </c>
      <c r="J92" s="19">
        <v>1579364.6845362519</v>
      </c>
      <c r="K92" s="19">
        <v>789.68234226812592</v>
      </c>
      <c r="L92" s="19">
        <v>1838702.9806606611</v>
      </c>
      <c r="M92" s="19">
        <v>919.35149033033053</v>
      </c>
      <c r="N92" s="19">
        <v>2808060.3452973412</v>
      </c>
      <c r="O92" s="19">
        <v>1404.0301726486707</v>
      </c>
      <c r="P92" s="19">
        <v>3067398.6414217507</v>
      </c>
      <c r="Q92" s="19">
        <v>1533.6993207108753</v>
      </c>
      <c r="R92" s="19">
        <v>2808060.3452973412</v>
      </c>
    </row>
    <row r="93" spans="1:18" x14ac:dyDescent="0.25">
      <c r="A93" s="19" t="s">
        <v>262</v>
      </c>
      <c r="B93" s="19">
        <v>1214138.4956104096</v>
      </c>
      <c r="C93" s="19">
        <v>1380441.2102769313</v>
      </c>
      <c r="D93" s="19">
        <v>913025.35936758749</v>
      </c>
      <c r="E93" s="19">
        <v>259678.39532838797</v>
      </c>
      <c r="F93" s="19">
        <v>3507605.0652549285</v>
      </c>
      <c r="G93" s="19">
        <v>1753.8025326274642</v>
      </c>
      <c r="H93" s="19">
        <v>3767283.4605833166</v>
      </c>
      <c r="I93" s="19">
        <v>1883.6417302916584</v>
      </c>
      <c r="J93" s="19">
        <v>1582105.207286681</v>
      </c>
      <c r="K93" s="19">
        <v>791.05260364334049</v>
      </c>
      <c r="L93" s="19">
        <v>1841783.6026150691</v>
      </c>
      <c r="M93" s="19">
        <v>920.89180130753459</v>
      </c>
      <c r="N93" s="19">
        <v>2814810.2163579529</v>
      </c>
      <c r="O93" s="19">
        <v>1407.4051081789764</v>
      </c>
      <c r="P93" s="19">
        <v>3074488.611686341</v>
      </c>
      <c r="Q93" s="19">
        <v>1537.2443058431704</v>
      </c>
      <c r="R93" s="19">
        <v>2814810.2163579529</v>
      </c>
    </row>
    <row r="94" spans="1:18" x14ac:dyDescent="0.25">
      <c r="A94" s="19" t="s">
        <v>263</v>
      </c>
      <c r="B94" s="19">
        <v>1642996.1590693118</v>
      </c>
      <c r="C94" s="19">
        <v>1468105.9046390909</v>
      </c>
      <c r="D94" s="19">
        <v>969791.9413560502</v>
      </c>
      <c r="E94" s="19">
        <v>274393.95244437212</v>
      </c>
      <c r="F94" s="19">
        <v>4080894.005064453</v>
      </c>
      <c r="G94" s="19">
        <v>2040.4470025322264</v>
      </c>
      <c r="H94" s="19">
        <v>4355287.9575088248</v>
      </c>
      <c r="I94" s="19">
        <v>2177.6439787544123</v>
      </c>
      <c r="J94" s="19">
        <v>1708294.9577522399</v>
      </c>
      <c r="K94" s="19">
        <v>854.14747887611998</v>
      </c>
      <c r="L94" s="19">
        <v>1982688.9101966121</v>
      </c>
      <c r="M94" s="19">
        <v>991.34445509830607</v>
      </c>
      <c r="N94" s="19">
        <v>3227232.8678415185</v>
      </c>
      <c r="O94" s="19">
        <v>1613.6164339207592</v>
      </c>
      <c r="P94" s="19">
        <v>3501626.8202858907</v>
      </c>
      <c r="Q94" s="19">
        <v>1750.8134101429453</v>
      </c>
      <c r="R94" s="19">
        <v>3227232.8678415185</v>
      </c>
    </row>
    <row r="95" spans="1:18" x14ac:dyDescent="0.25">
      <c r="A95" s="19" t="s">
        <v>275</v>
      </c>
      <c r="B95" s="19"/>
      <c r="C95" s="19"/>
      <c r="D95" s="19"/>
      <c r="E95" s="19"/>
      <c r="F95" s="19" t="s">
        <v>367</v>
      </c>
      <c r="G95" s="19" t="s">
        <v>368</v>
      </c>
      <c r="H95" s="19" t="s">
        <v>367</v>
      </c>
      <c r="I95" s="19" t="s">
        <v>368</v>
      </c>
      <c r="J95" s="19" t="s">
        <v>367</v>
      </c>
      <c r="K95" s="19" t="s">
        <v>368</v>
      </c>
      <c r="L95" s="19" t="s">
        <v>367</v>
      </c>
      <c r="M95" s="19" t="s">
        <v>368</v>
      </c>
      <c r="N95" s="19" t="s">
        <v>367</v>
      </c>
      <c r="O95" s="19" t="s">
        <v>368</v>
      </c>
      <c r="P95" s="19" t="s">
        <v>367</v>
      </c>
      <c r="Q95" s="19" t="s">
        <v>368</v>
      </c>
      <c r="R95" s="19" t="s">
        <v>367</v>
      </c>
    </row>
    <row r="96" spans="1:18" x14ac:dyDescent="0.25">
      <c r="A96" s="19" t="s">
        <v>240</v>
      </c>
      <c r="B96" s="19">
        <v>23.631032201068145</v>
      </c>
      <c r="C96" s="19">
        <v>12.651767517057165</v>
      </c>
      <c r="D96" s="19">
        <v>9.7919712416048679</v>
      </c>
      <c r="E96" s="19">
        <v>3.3029214853893185</v>
      </c>
      <c r="F96" s="19">
        <v>46.074770959730181</v>
      </c>
      <c r="G96" s="19">
        <v>2.3037385479865089E-2</v>
      </c>
      <c r="H96" s="19">
        <v>49.3776924451195</v>
      </c>
      <c r="I96" s="19">
        <v>2.4688846222559749E-2</v>
      </c>
      <c r="J96" s="19">
        <v>19.689366187299441</v>
      </c>
      <c r="K96" s="19">
        <v>9.8446830936497216E-3</v>
      </c>
      <c r="L96" s="19">
        <v>22.992287672688761</v>
      </c>
      <c r="M96" s="19">
        <v>1.1496143836344381E-2</v>
      </c>
      <c r="N96" s="19">
        <v>36.581302322609602</v>
      </c>
      <c r="O96" s="19">
        <v>1.8290651161304801E-2</v>
      </c>
      <c r="P96" s="19">
        <v>39.884223807998922</v>
      </c>
      <c r="Q96" s="19">
        <v>1.9942111903999461E-2</v>
      </c>
      <c r="R96" s="19">
        <v>36.581302322609602</v>
      </c>
    </row>
    <row r="97" spans="1:18" x14ac:dyDescent="0.25">
      <c r="A97" s="19" t="s">
        <v>241</v>
      </c>
      <c r="B97" s="19">
        <v>45.627438969516859</v>
      </c>
      <c r="C97" s="19">
        <v>134.52826756036498</v>
      </c>
      <c r="D97" s="19">
        <v>76.889560068721565</v>
      </c>
      <c r="E97" s="19">
        <v>18.641837301631956</v>
      </c>
      <c r="F97" s="19">
        <v>257.0452665986034</v>
      </c>
      <c r="G97" s="19">
        <v>0.12852263329930169</v>
      </c>
      <c r="H97" s="19">
        <v>275.68710390023534</v>
      </c>
      <c r="I97" s="19">
        <v>0.13784355195011766</v>
      </c>
      <c r="J97" s="19">
        <v>146.37390385220996</v>
      </c>
      <c r="K97" s="19">
        <v>7.3186951926104984E-2</v>
      </c>
      <c r="L97" s="19">
        <v>165.01574115384193</v>
      </c>
      <c r="M97" s="19">
        <v>8.2507870576920966E-2</v>
      </c>
      <c r="N97" s="19">
        <v>217.22571028245105</v>
      </c>
      <c r="O97" s="19">
        <v>0.10861285514122553</v>
      </c>
      <c r="P97" s="19">
        <v>235.86754758408301</v>
      </c>
      <c r="Q97" s="19">
        <v>0.11793377379204151</v>
      </c>
      <c r="R97" s="19">
        <v>217.22571028245105</v>
      </c>
    </row>
    <row r="98" spans="1:18" x14ac:dyDescent="0.25">
      <c r="A98" s="19" t="s">
        <v>242</v>
      </c>
      <c r="B98" s="19">
        <v>100.78768545387604</v>
      </c>
      <c r="C98" s="19">
        <v>283.41112583566724</v>
      </c>
      <c r="D98" s="19">
        <v>159.03125314248189</v>
      </c>
      <c r="E98" s="19">
        <v>37.888618556172304</v>
      </c>
      <c r="F98" s="19">
        <v>543.23006443202519</v>
      </c>
      <c r="G98" s="19">
        <v>0.27161503221601258</v>
      </c>
      <c r="H98" s="19">
        <v>581.11868298819752</v>
      </c>
      <c r="I98" s="19">
        <v>0.29055934149409873</v>
      </c>
      <c r="J98" s="19">
        <v>345.7404591564835</v>
      </c>
      <c r="K98" s="19">
        <v>0.17287022957824175</v>
      </c>
      <c r="L98" s="19">
        <v>383.62907771265577</v>
      </c>
      <c r="M98" s="19">
        <v>0.19181453885632788</v>
      </c>
      <c r="N98" s="19">
        <v>472.17330445388524</v>
      </c>
      <c r="O98" s="19">
        <v>0.23608665222694261</v>
      </c>
      <c r="P98" s="19">
        <v>510.06192301005751</v>
      </c>
      <c r="Q98" s="19">
        <v>0.25503096150502874</v>
      </c>
      <c r="R98" s="19">
        <v>472.17330445388524</v>
      </c>
    </row>
    <row r="99" spans="1:18" x14ac:dyDescent="0.25">
      <c r="A99" s="19" t="s">
        <v>243</v>
      </c>
      <c r="B99" s="19">
        <v>9.5823718800117632</v>
      </c>
      <c r="C99" s="19">
        <v>31.400465000508682</v>
      </c>
      <c r="D99" s="19">
        <v>17.641718496372803</v>
      </c>
      <c r="E99" s="19">
        <v>4.3617341549962942</v>
      </c>
      <c r="F99" s="19">
        <v>58.624555376893248</v>
      </c>
      <c r="G99" s="19">
        <v>2.9312277688446624E-2</v>
      </c>
      <c r="H99" s="19">
        <v>62.98628953188954</v>
      </c>
      <c r="I99" s="19">
        <v>3.1493144765944767E-2</v>
      </c>
      <c r="J99" s="19">
        <v>36.431267143565599</v>
      </c>
      <c r="K99" s="19">
        <v>1.82156335717828E-2</v>
      </c>
      <c r="L99" s="19">
        <v>40.79300129856189</v>
      </c>
      <c r="M99" s="19">
        <v>2.0396500649280946E-2</v>
      </c>
      <c r="N99" s="19">
        <v>50.639410270541958</v>
      </c>
      <c r="O99" s="19">
        <v>2.531970513527098E-2</v>
      </c>
      <c r="P99" s="19">
        <v>55.00114442553825</v>
      </c>
      <c r="Q99" s="19">
        <v>2.7500572212769126E-2</v>
      </c>
      <c r="R99" s="19">
        <v>50.639410270541958</v>
      </c>
    </row>
    <row r="100" spans="1:18" x14ac:dyDescent="0.25">
      <c r="A100" s="19" t="s">
        <v>244</v>
      </c>
      <c r="B100" s="19">
        <v>8.2583180614527976</v>
      </c>
      <c r="C100" s="19">
        <v>25.953982395189694</v>
      </c>
      <c r="D100" s="19">
        <v>14.634893392893032</v>
      </c>
      <c r="E100" s="19">
        <v>3.6576332542617229</v>
      </c>
      <c r="F100" s="19">
        <v>48.847193849535529</v>
      </c>
      <c r="G100" s="19">
        <v>2.4423596924767765E-2</v>
      </c>
      <c r="H100" s="19">
        <v>52.504827103797254</v>
      </c>
      <c r="I100" s="19">
        <v>2.6252413551898626E-2</v>
      </c>
      <c r="J100" s="19">
        <v>30.622768960539673</v>
      </c>
      <c r="K100" s="19">
        <v>1.5311384480269837E-2</v>
      </c>
      <c r="L100" s="19">
        <v>34.280402214801398</v>
      </c>
      <c r="M100" s="19">
        <v>1.71402011074007E-2</v>
      </c>
      <c r="N100" s="19">
        <v>42.290045774474819</v>
      </c>
      <c r="O100" s="19">
        <v>2.1145022887237411E-2</v>
      </c>
      <c r="P100" s="19">
        <v>45.947679028736545</v>
      </c>
      <c r="Q100" s="19">
        <v>2.2973839514368273E-2</v>
      </c>
      <c r="R100" s="19">
        <v>42.290045774474819</v>
      </c>
    </row>
    <row r="101" spans="1:18" x14ac:dyDescent="0.25">
      <c r="A101" s="19" t="s">
        <v>245</v>
      </c>
      <c r="B101" s="19">
        <v>61.732346336857198</v>
      </c>
      <c r="C101" s="19">
        <v>293.29485938534776</v>
      </c>
      <c r="D101" s="19">
        <v>159.49964859167062</v>
      </c>
      <c r="E101" s="19">
        <v>36.267171761131422</v>
      </c>
      <c r="F101" s="19">
        <v>514.52685431387556</v>
      </c>
      <c r="G101" s="19">
        <v>0.25726342715693779</v>
      </c>
      <c r="H101" s="19">
        <v>550.79402607500697</v>
      </c>
      <c r="I101" s="19">
        <v>0.27539701303750347</v>
      </c>
      <c r="J101" s="19">
        <v>321.22515417472698</v>
      </c>
      <c r="K101" s="19">
        <v>0.16061257708736348</v>
      </c>
      <c r="L101" s="19">
        <v>357.49232593585839</v>
      </c>
      <c r="M101" s="19">
        <v>0.1787461629679292</v>
      </c>
      <c r="N101" s="19">
        <v>444.97690260380989</v>
      </c>
      <c r="O101" s="19">
        <v>0.22248845130190495</v>
      </c>
      <c r="P101" s="19">
        <v>481.2440743649413</v>
      </c>
      <c r="Q101" s="19">
        <v>0.24062203718247066</v>
      </c>
      <c r="R101" s="19">
        <v>444.97690260380989</v>
      </c>
    </row>
    <row r="102" spans="1:18" x14ac:dyDescent="0.25">
      <c r="A102" s="19" t="s">
        <v>246</v>
      </c>
      <c r="B102" s="19">
        <v>0.85176043486005493</v>
      </c>
      <c r="C102" s="19">
        <v>1.2136780492046628</v>
      </c>
      <c r="D102" s="19">
        <v>0.71193885610732188</v>
      </c>
      <c r="E102" s="19">
        <v>0.18761068038516698</v>
      </c>
      <c r="F102" s="19">
        <v>2.7773773401720394</v>
      </c>
      <c r="G102" s="19">
        <v>1.3886886700860198E-3</v>
      </c>
      <c r="H102" s="19">
        <v>2.9649880205572066</v>
      </c>
      <c r="I102" s="19">
        <v>1.4824940102786033E-3</v>
      </c>
      <c r="J102" s="19">
        <v>1.8408817748989841</v>
      </c>
      <c r="K102" s="19">
        <v>9.2044088744949206E-4</v>
      </c>
      <c r="L102" s="19">
        <v>2.0284924552841512</v>
      </c>
      <c r="M102" s="19">
        <v>1.0142462276420757E-3</v>
      </c>
      <c r="N102" s="19">
        <v>2.4404262357867941</v>
      </c>
      <c r="O102" s="19">
        <v>1.220213117893397E-3</v>
      </c>
      <c r="P102" s="19">
        <v>2.6280369161719612</v>
      </c>
      <c r="Q102" s="19">
        <v>1.3140184580859805E-3</v>
      </c>
      <c r="R102" s="19">
        <v>2.4404262357867941</v>
      </c>
    </row>
    <row r="103" spans="1:18" x14ac:dyDescent="0.25">
      <c r="A103" s="19" t="s">
        <v>247</v>
      </c>
      <c r="B103" s="19">
        <v>2.1949528832586722</v>
      </c>
      <c r="C103" s="19">
        <v>6.2337955887054477</v>
      </c>
      <c r="D103" s="19">
        <v>3.5559721312000692</v>
      </c>
      <c r="E103" s="19">
        <v>0.95581432836268387</v>
      </c>
      <c r="F103" s="19">
        <v>11.984720603164188</v>
      </c>
      <c r="G103" s="19">
        <v>5.9923603015820939E-3</v>
      </c>
      <c r="H103" s="19">
        <v>12.940534931526873</v>
      </c>
      <c r="I103" s="19">
        <v>6.4702674657634365E-3</v>
      </c>
      <c r="J103" s="19">
        <v>8.2454038858965113</v>
      </c>
      <c r="K103" s="19">
        <v>4.1227019429482554E-3</v>
      </c>
      <c r="L103" s="19">
        <v>9.2012182142591961</v>
      </c>
      <c r="M103" s="19">
        <v>4.600609107129598E-3</v>
      </c>
      <c r="N103" s="19">
        <v>10.639314448291277</v>
      </c>
      <c r="O103" s="19">
        <v>5.319657224145638E-3</v>
      </c>
      <c r="P103" s="19">
        <v>11.595128776653961</v>
      </c>
      <c r="Q103" s="19">
        <v>5.7975643883269807E-3</v>
      </c>
      <c r="R103" s="19">
        <v>10.639314448291277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82AA-358A-4108-8328-6019C12C80C8}">
  <dimension ref="A2:J88"/>
  <sheetViews>
    <sheetView topLeftCell="F46" workbookViewId="0">
      <selection activeCell="B37" sqref="B37"/>
    </sheetView>
  </sheetViews>
  <sheetFormatPr defaultRowHeight="15" x14ac:dyDescent="0.25"/>
  <cols>
    <col min="1" max="1" width="51.42578125" bestFit="1" customWidth="1"/>
    <col min="2" max="2" width="27.28515625" bestFit="1" customWidth="1"/>
    <col min="3" max="3" width="28.5703125" bestFit="1" customWidth="1"/>
    <col min="4" max="4" width="14.5703125" bestFit="1" customWidth="1"/>
    <col min="5" max="5" width="27.28515625" bestFit="1" customWidth="1"/>
    <col min="6" max="6" width="28.5703125" bestFit="1" customWidth="1"/>
    <col min="7" max="7" width="14.5703125" bestFit="1" customWidth="1"/>
    <col min="8" max="8" width="27.28515625" bestFit="1" customWidth="1"/>
    <col min="9" max="9" width="28.5703125" bestFit="1" customWidth="1"/>
    <col min="10" max="10" width="14.5703125" bestFit="1" customWidth="1"/>
  </cols>
  <sheetData>
    <row r="2" spans="1:10" x14ac:dyDescent="0.25">
      <c r="B2" t="s">
        <v>346</v>
      </c>
    </row>
    <row r="3" spans="1:10" x14ac:dyDescent="0.25">
      <c r="B3" t="s">
        <v>157</v>
      </c>
      <c r="E3" t="s">
        <v>337</v>
      </c>
      <c r="H3" t="s">
        <v>338</v>
      </c>
    </row>
    <row r="4" spans="1:10" x14ac:dyDescent="0.25">
      <c r="B4" t="s">
        <v>339</v>
      </c>
      <c r="C4" t="s">
        <v>340</v>
      </c>
      <c r="D4" t="s">
        <v>341</v>
      </c>
      <c r="E4" t="s">
        <v>339</v>
      </c>
      <c r="F4" t="s">
        <v>340</v>
      </c>
      <c r="G4" t="s">
        <v>341</v>
      </c>
      <c r="H4" t="s">
        <v>339</v>
      </c>
      <c r="I4" t="s">
        <v>340</v>
      </c>
      <c r="J4" t="s">
        <v>341</v>
      </c>
    </row>
    <row r="5" spans="1:10" x14ac:dyDescent="0.25">
      <c r="A5" t="s">
        <v>342</v>
      </c>
    </row>
    <row r="6" spans="1:10" x14ac:dyDescent="0.25">
      <c r="A6" t="s">
        <v>233</v>
      </c>
      <c r="B6">
        <v>3.5643537742247173</v>
      </c>
      <c r="C6">
        <v>27.504032158265016</v>
      </c>
      <c r="D6">
        <v>23.081432076538423</v>
      </c>
      <c r="E6">
        <v>0</v>
      </c>
      <c r="F6">
        <v>3.0395239931656173</v>
      </c>
      <c r="G6">
        <v>3.0395239931656173</v>
      </c>
      <c r="H6">
        <v>3.5643537742247173</v>
      </c>
      <c r="I6">
        <v>24.464508165099399</v>
      </c>
      <c r="J6">
        <v>20.041908083372807</v>
      </c>
    </row>
    <row r="7" spans="1:10" x14ac:dyDescent="0.25">
      <c r="A7" t="s">
        <v>234</v>
      </c>
      <c r="B7">
        <v>3.1167084277761519</v>
      </c>
      <c r="C7">
        <v>25.097184062039386</v>
      </c>
      <c r="D7">
        <v>20.272584617696687</v>
      </c>
      <c r="E7">
        <v>0</v>
      </c>
      <c r="F7">
        <v>2.9585232920830653</v>
      </c>
      <c r="G7">
        <v>2.9585232920830653</v>
      </c>
      <c r="H7">
        <v>3.1167084277761519</v>
      </c>
      <c r="I7">
        <v>22.138660769956321</v>
      </c>
      <c r="J7">
        <v>17.314061325613622</v>
      </c>
    </row>
    <row r="8" spans="1:10" x14ac:dyDescent="0.25">
      <c r="A8" t="s">
        <v>235</v>
      </c>
      <c r="B8">
        <v>1.0104593163941649</v>
      </c>
      <c r="C8">
        <v>7.7641146887570471</v>
      </c>
      <c r="D8">
        <v>10.366061289454869</v>
      </c>
      <c r="E8">
        <v>0</v>
      </c>
      <c r="F8">
        <v>2.4971618519012457</v>
      </c>
      <c r="G8">
        <v>2.4971618519012457</v>
      </c>
      <c r="H8">
        <v>1.0104593163941649</v>
      </c>
      <c r="I8">
        <v>5.2669528368558014</v>
      </c>
      <c r="J8">
        <v>7.8688994375536234</v>
      </c>
    </row>
    <row r="9" spans="1:10" x14ac:dyDescent="0.25">
      <c r="A9" t="s">
        <v>236</v>
      </c>
      <c r="B9">
        <v>1.3409840381624012</v>
      </c>
      <c r="C9">
        <v>17.731471289716175</v>
      </c>
      <c r="D9">
        <v>9.9749348809284371</v>
      </c>
      <c r="E9">
        <v>0</v>
      </c>
      <c r="F9">
        <v>2.6605264189820299</v>
      </c>
      <c r="G9">
        <v>2.6605264189820299</v>
      </c>
      <c r="H9">
        <v>1.3409840381624012</v>
      </c>
      <c r="I9">
        <v>15.070944870734147</v>
      </c>
      <c r="J9">
        <v>7.3144084619464076</v>
      </c>
    </row>
    <row r="10" spans="1:10" x14ac:dyDescent="0.25">
      <c r="A10" t="s">
        <v>237</v>
      </c>
      <c r="B10">
        <v>0.76526507321958559</v>
      </c>
      <c r="C10">
        <v>4.0730299774050263</v>
      </c>
      <c r="D10">
        <v>4.4030203411522466</v>
      </c>
      <c r="E10">
        <v>0</v>
      </c>
      <c r="F10">
        <v>2.2722669150386521</v>
      </c>
      <c r="G10">
        <v>2.2722669150386521</v>
      </c>
      <c r="H10">
        <v>0.76526507321958559</v>
      </c>
      <c r="I10">
        <v>1.8007630623663737</v>
      </c>
      <c r="J10">
        <v>2.1307534261135945</v>
      </c>
    </row>
    <row r="11" spans="1:10" x14ac:dyDescent="0.25">
      <c r="A11" t="s">
        <v>343</v>
      </c>
      <c r="B11">
        <v>1219.3121634308195</v>
      </c>
      <c r="C11">
        <v>3830.9553205394677</v>
      </c>
      <c r="D11">
        <v>2470.9870470622905</v>
      </c>
      <c r="E11">
        <v>0</v>
      </c>
      <c r="F11">
        <v>145.67040251876668</v>
      </c>
      <c r="G11">
        <v>145.67040251876668</v>
      </c>
      <c r="H11">
        <v>1219.3121634308195</v>
      </c>
      <c r="I11">
        <v>3685.2849180207008</v>
      </c>
      <c r="J11">
        <v>2325.3166445435236</v>
      </c>
    </row>
    <row r="12" spans="1:10" x14ac:dyDescent="0.25">
      <c r="A12" t="s">
        <v>344</v>
      </c>
    </row>
    <row r="13" spans="1:10" x14ac:dyDescent="0.25">
      <c r="A13" t="s">
        <v>240</v>
      </c>
      <c r="B13">
        <v>62.864836341682341</v>
      </c>
      <c r="C13">
        <v>326.04792096444794</v>
      </c>
      <c r="D13">
        <v>290.54047689953552</v>
      </c>
      <c r="E13">
        <v>0</v>
      </c>
      <c r="F13">
        <v>57.750594158986218</v>
      </c>
      <c r="G13">
        <v>57.750594158986218</v>
      </c>
      <c r="H13">
        <v>62.864836341682341</v>
      </c>
      <c r="I13">
        <v>268.29732680546175</v>
      </c>
      <c r="J13">
        <v>232.78988274054927</v>
      </c>
    </row>
    <row r="14" spans="1:10" x14ac:dyDescent="0.25">
      <c r="A14" t="s">
        <v>241</v>
      </c>
      <c r="B14">
        <v>242.53317191612635</v>
      </c>
      <c r="C14">
        <v>1366.6159467868595</v>
      </c>
      <c r="D14">
        <v>1071.949125638705</v>
      </c>
      <c r="E14">
        <v>0</v>
      </c>
      <c r="F14">
        <v>241.27461995306837</v>
      </c>
      <c r="G14">
        <v>241.27461995306837</v>
      </c>
      <c r="H14">
        <v>242.53317191612635</v>
      </c>
      <c r="I14">
        <v>1125.3413268337911</v>
      </c>
      <c r="J14">
        <v>830.67450568563663</v>
      </c>
    </row>
    <row r="15" spans="1:10" x14ac:dyDescent="0.25">
      <c r="A15" t="s">
        <v>274</v>
      </c>
      <c r="B15">
        <v>625.01654248041768</v>
      </c>
      <c r="C15">
        <v>2476.2725622966109</v>
      </c>
      <c r="D15">
        <v>2362.0570543616395</v>
      </c>
      <c r="E15">
        <v>0</v>
      </c>
      <c r="F15">
        <v>497.19256588112745</v>
      </c>
      <c r="G15">
        <v>497.19256588112745</v>
      </c>
      <c r="H15">
        <v>625.01654248041768</v>
      </c>
      <c r="I15">
        <v>1979.0799964154833</v>
      </c>
      <c r="J15">
        <v>1864.8644884805121</v>
      </c>
    </row>
    <row r="16" spans="1:10" x14ac:dyDescent="0.25">
      <c r="A16" t="s">
        <v>243</v>
      </c>
      <c r="B16">
        <v>51.036012835161053</v>
      </c>
      <c r="C16">
        <v>227.20734286646558</v>
      </c>
      <c r="D16">
        <v>270.83830133539061</v>
      </c>
      <c r="E16">
        <v>0</v>
      </c>
      <c r="F16">
        <v>29.243900282429721</v>
      </c>
      <c r="G16">
        <v>29.243900282429721</v>
      </c>
      <c r="H16">
        <v>51.036012835161053</v>
      </c>
      <c r="I16">
        <v>197.96344258403585</v>
      </c>
      <c r="J16">
        <v>241.5944010529609</v>
      </c>
    </row>
    <row r="17" spans="1:10" x14ac:dyDescent="0.25">
      <c r="A17" t="s">
        <v>244</v>
      </c>
      <c r="B17">
        <v>39.917158255556231</v>
      </c>
      <c r="C17">
        <v>162.82609335062003</v>
      </c>
      <c r="D17">
        <v>191.42392002876235</v>
      </c>
      <c r="E17">
        <v>0</v>
      </c>
      <c r="F17">
        <v>26.383715472665777</v>
      </c>
      <c r="G17">
        <v>26.383715472665777</v>
      </c>
      <c r="H17">
        <v>39.917158255556231</v>
      </c>
      <c r="I17">
        <v>136.44237787795424</v>
      </c>
      <c r="J17">
        <v>165.04020455609657</v>
      </c>
    </row>
    <row r="18" spans="1:10" x14ac:dyDescent="0.25">
      <c r="A18" t="s">
        <v>245</v>
      </c>
      <c r="B18">
        <v>1088.0145033896631</v>
      </c>
      <c r="C18">
        <v>2777.9833813645705</v>
      </c>
      <c r="D18">
        <v>1384.0958089317971</v>
      </c>
      <c r="E18">
        <v>0</v>
      </c>
      <c r="F18">
        <v>42.259387755219649</v>
      </c>
      <c r="G18">
        <v>42.259387755219649</v>
      </c>
      <c r="H18">
        <v>1088.0145033896631</v>
      </c>
      <c r="I18">
        <v>2735.7239936093511</v>
      </c>
      <c r="J18">
        <v>1341.8364211765775</v>
      </c>
    </row>
    <row r="19" spans="1:10" x14ac:dyDescent="0.25">
      <c r="A19" t="s">
        <v>246</v>
      </c>
      <c r="B19">
        <v>13.524746681805318</v>
      </c>
      <c r="C19">
        <v>32.376451046548411</v>
      </c>
      <c r="D19">
        <v>36.386593241458151</v>
      </c>
      <c r="E19">
        <v>0</v>
      </c>
      <c r="F19">
        <v>12.544740405872234</v>
      </c>
      <c r="G19">
        <v>12.544740405872234</v>
      </c>
      <c r="H19">
        <v>13.524746681805318</v>
      </c>
      <c r="I19">
        <v>19.831710640676175</v>
      </c>
      <c r="J19">
        <v>23.841852835585918</v>
      </c>
    </row>
    <row r="20" spans="1:10" x14ac:dyDescent="0.25">
      <c r="A20" t="s">
        <v>247</v>
      </c>
      <c r="B20">
        <v>10.510665821717112</v>
      </c>
      <c r="C20">
        <v>44.462474001873474</v>
      </c>
      <c r="D20">
        <v>48.377972810767105</v>
      </c>
      <c r="E20">
        <v>0</v>
      </c>
      <c r="F20">
        <v>6.9169145522980191</v>
      </c>
      <c r="G20">
        <v>6.9169145522980191</v>
      </c>
      <c r="H20">
        <v>10.510665821717112</v>
      </c>
      <c r="I20">
        <v>37.545559449575457</v>
      </c>
      <c r="J20">
        <v>41.461058258469087</v>
      </c>
    </row>
    <row r="21" spans="1:10" x14ac:dyDescent="0.25">
      <c r="A21" t="s">
        <v>248</v>
      </c>
      <c r="B21">
        <v>464.46502955926974</v>
      </c>
      <c r="C21">
        <v>4379.1251089396292</v>
      </c>
      <c r="D21">
        <v>3246.6176872150195</v>
      </c>
      <c r="E21">
        <v>0</v>
      </c>
      <c r="F21">
        <v>513.77697967721394</v>
      </c>
      <c r="G21">
        <v>513.77697967721394</v>
      </c>
      <c r="H21">
        <v>464.46502955926974</v>
      </c>
      <c r="I21">
        <v>3865.3481292624156</v>
      </c>
      <c r="J21">
        <v>2732.8407075378054</v>
      </c>
    </row>
    <row r="22" spans="1:10" x14ac:dyDescent="0.25">
      <c r="A22" t="s">
        <v>249</v>
      </c>
      <c r="B22">
        <v>4.8765562761158785</v>
      </c>
      <c r="C22">
        <v>40.320069236319092</v>
      </c>
      <c r="D22">
        <v>30.266930208620195</v>
      </c>
      <c r="E22">
        <v>0</v>
      </c>
      <c r="F22">
        <v>5.3837538910538907</v>
      </c>
      <c r="G22">
        <v>5.3837538910538907</v>
      </c>
      <c r="H22">
        <v>4.8765562761158785</v>
      </c>
      <c r="I22">
        <v>34.9363153452652</v>
      </c>
      <c r="J22">
        <v>24.883176317566303</v>
      </c>
    </row>
    <row r="23" spans="1:10" x14ac:dyDescent="0.25">
      <c r="A23" t="s">
        <v>250</v>
      </c>
      <c r="B23">
        <v>1601884.6987439038</v>
      </c>
      <c r="C23">
        <v>2004217.6350519815</v>
      </c>
      <c r="D23">
        <v>1808682.4910592241</v>
      </c>
      <c r="E23">
        <v>0</v>
      </c>
      <c r="F23">
        <v>408086.57831120904</v>
      </c>
      <c r="G23">
        <v>408086.57831120904</v>
      </c>
      <c r="H23">
        <v>1601884.6987439038</v>
      </c>
      <c r="I23">
        <v>1596131.0567407724</v>
      </c>
      <c r="J23">
        <v>1400595.912748015</v>
      </c>
    </row>
    <row r="24" spans="1:10" x14ac:dyDescent="0.25">
      <c r="A24" t="s">
        <v>262</v>
      </c>
      <c r="B24">
        <v>1602461.7510397036</v>
      </c>
      <c r="C24">
        <v>2007381.3570839381</v>
      </c>
      <c r="D24">
        <v>1811272.5003620412</v>
      </c>
      <c r="E24">
        <v>0</v>
      </c>
      <c r="F24">
        <v>408645.71349435934</v>
      </c>
      <c r="G24">
        <v>408645.71349435934</v>
      </c>
      <c r="H24">
        <v>1602461.7510397036</v>
      </c>
      <c r="I24">
        <v>1598735.6435895788</v>
      </c>
      <c r="J24">
        <v>1402626.7868676819</v>
      </c>
    </row>
    <row r="25" spans="1:10" x14ac:dyDescent="0.25">
      <c r="A25" t="s">
        <v>263</v>
      </c>
      <c r="B25">
        <v>1617634.1087839494</v>
      </c>
      <c r="C25">
        <v>2148886.664231854</v>
      </c>
      <c r="D25">
        <v>1916284.5793880017</v>
      </c>
      <c r="E25">
        <v>0</v>
      </c>
      <c r="F25">
        <v>425426.03230099805</v>
      </c>
      <c r="G25">
        <v>425426.03230099805</v>
      </c>
      <c r="H25">
        <v>1617634.1087839494</v>
      </c>
      <c r="I25">
        <v>1723460.631930856</v>
      </c>
      <c r="J25">
        <v>1490858.5470870037</v>
      </c>
    </row>
    <row r="26" spans="1:10" x14ac:dyDescent="0.25">
      <c r="A26" t="s">
        <v>345</v>
      </c>
    </row>
    <row r="27" spans="1:10" x14ac:dyDescent="0.25">
      <c r="A27" t="s">
        <v>240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242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243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244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245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246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247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8" spans="1:10" x14ac:dyDescent="0.25">
      <c r="A38" t="s">
        <v>369</v>
      </c>
    </row>
    <row r="39" spans="1:10" x14ac:dyDescent="0.25">
      <c r="B39" t="s">
        <v>370</v>
      </c>
      <c r="D39" t="s">
        <v>371</v>
      </c>
      <c r="F39" t="s">
        <v>372</v>
      </c>
      <c r="H39" t="s">
        <v>346</v>
      </c>
      <c r="I39" t="s">
        <v>373</v>
      </c>
    </row>
    <row r="40" spans="1:10" x14ac:dyDescent="0.25">
      <c r="B40" t="s">
        <v>339</v>
      </c>
      <c r="C40" t="s">
        <v>340</v>
      </c>
      <c r="D40" t="s">
        <v>339</v>
      </c>
      <c r="E40" t="s">
        <v>340</v>
      </c>
      <c r="F40" t="s">
        <v>339</v>
      </c>
      <c r="G40" t="s">
        <v>340</v>
      </c>
      <c r="H40" t="s">
        <v>341</v>
      </c>
      <c r="I40" t="s">
        <v>339</v>
      </c>
      <c r="J40" t="s">
        <v>340</v>
      </c>
    </row>
    <row r="41" spans="1:10" x14ac:dyDescent="0.25">
      <c r="A41" t="s">
        <v>374</v>
      </c>
    </row>
    <row r="42" spans="1:10" x14ac:dyDescent="0.25">
      <c r="A42" t="s">
        <v>233</v>
      </c>
      <c r="B42">
        <v>12.06466040302451</v>
      </c>
      <c r="C42">
        <v>34.439678680659647</v>
      </c>
      <c r="D42">
        <v>12.064660403024513</v>
      </c>
      <c r="E42">
        <v>34.439678680659654</v>
      </c>
      <c r="F42">
        <v>0</v>
      </c>
      <c r="G42">
        <v>34.439678680659682</v>
      </c>
      <c r="H42">
        <v>32.919496616864521</v>
      </c>
      <c r="I42">
        <v>0</v>
      </c>
      <c r="J42">
        <v>34.439678680659647</v>
      </c>
    </row>
    <row r="43" spans="1:10" x14ac:dyDescent="0.25">
      <c r="A43" t="s">
        <v>234</v>
      </c>
      <c r="B43">
        <v>10.549465944788977</v>
      </c>
      <c r="C43">
        <v>31.42589966127106</v>
      </c>
      <c r="D43">
        <v>10.549465944788981</v>
      </c>
      <c r="E43">
        <v>31.42589966127106</v>
      </c>
      <c r="F43">
        <v>0</v>
      </c>
      <c r="G43">
        <v>31.425899661271089</v>
      </c>
      <c r="H43">
        <v>28.913426104774512</v>
      </c>
      <c r="I43">
        <v>0</v>
      </c>
      <c r="J43">
        <v>31.425899661271064</v>
      </c>
    </row>
    <row r="44" spans="1:10" x14ac:dyDescent="0.25">
      <c r="A44" t="s">
        <v>235</v>
      </c>
      <c r="B44">
        <v>3.4202128283462909</v>
      </c>
      <c r="C44">
        <v>9.7219787114097809</v>
      </c>
      <c r="D44">
        <v>3.4202128283462914</v>
      </c>
      <c r="E44">
        <v>9.7219787114097809</v>
      </c>
      <c r="F44">
        <v>0</v>
      </c>
      <c r="G44">
        <v>9.7219787114097898</v>
      </c>
      <c r="H44">
        <v>14.784417120083532</v>
      </c>
      <c r="I44">
        <v>0</v>
      </c>
      <c r="J44">
        <v>9.7219787114097809</v>
      </c>
    </row>
    <row r="45" spans="1:10" x14ac:dyDescent="0.25">
      <c r="A45" t="s">
        <v>236</v>
      </c>
      <c r="B45">
        <v>4.5389762215241447</v>
      </c>
      <c r="C45">
        <v>22.2027872218605</v>
      </c>
      <c r="D45">
        <v>4.5389762215241456</v>
      </c>
      <c r="E45">
        <v>22.202787221860504</v>
      </c>
      <c r="F45">
        <v>0</v>
      </c>
      <c r="G45">
        <v>22.202787221860522</v>
      </c>
      <c r="H45">
        <v>14.226579788346218</v>
      </c>
      <c r="I45">
        <v>0</v>
      </c>
      <c r="J45">
        <v>22.202787221860504</v>
      </c>
    </row>
    <row r="46" spans="1:10" x14ac:dyDescent="0.25">
      <c r="A46" t="s">
        <v>237</v>
      </c>
      <c r="B46">
        <v>2.5902768949185417</v>
      </c>
      <c r="C46">
        <v>5.100119243293241</v>
      </c>
      <c r="D46">
        <v>2.5902768949185426</v>
      </c>
      <c r="E46">
        <v>5.100119243293241</v>
      </c>
      <c r="F46">
        <v>0</v>
      </c>
      <c r="G46">
        <v>5.1001192432932454</v>
      </c>
      <c r="H46">
        <v>6.2797322429520941</v>
      </c>
      <c r="I46">
        <v>0</v>
      </c>
      <c r="J46">
        <v>5.100119243293241</v>
      </c>
    </row>
    <row r="47" spans="1:10" x14ac:dyDescent="0.25">
      <c r="A47" t="s">
        <v>343</v>
      </c>
      <c r="B47">
        <v>4127.1400396470635</v>
      </c>
      <c r="C47">
        <v>4797.0010186195723</v>
      </c>
      <c r="D47">
        <v>4127.1400396470635</v>
      </c>
      <c r="E47">
        <v>4797.0010186195732</v>
      </c>
      <c r="F47">
        <v>0</v>
      </c>
      <c r="G47">
        <v>4797.0010186195768</v>
      </c>
      <c r="H47">
        <v>3524.2028946187647</v>
      </c>
      <c r="I47">
        <v>0</v>
      </c>
      <c r="J47">
        <v>4797.0010186195723</v>
      </c>
    </row>
    <row r="48" spans="1:10" x14ac:dyDescent="0.25">
      <c r="A48" t="s">
        <v>375</v>
      </c>
    </row>
    <row r="49" spans="1:10" x14ac:dyDescent="0.25">
      <c r="A49" t="s">
        <v>240</v>
      </c>
      <c r="B49">
        <v>212.78552854060626</v>
      </c>
      <c r="C49">
        <v>408.26688857467639</v>
      </c>
      <c r="D49">
        <v>212.78552854060626</v>
      </c>
      <c r="E49">
        <v>408.26688857467644</v>
      </c>
      <c r="F49">
        <v>0</v>
      </c>
      <c r="G49">
        <v>408.26688857467673</v>
      </c>
      <c r="H49">
        <v>414.37837195892337</v>
      </c>
      <c r="I49">
        <v>0</v>
      </c>
      <c r="J49">
        <v>408.26688857467644</v>
      </c>
    </row>
    <row r="50" spans="1:10" x14ac:dyDescent="0.25">
      <c r="A50" t="s">
        <v>241</v>
      </c>
      <c r="B50">
        <v>820.92871274341383</v>
      </c>
      <c r="C50">
        <v>1711.2332408708855</v>
      </c>
      <c r="D50">
        <v>820.92871274341383</v>
      </c>
      <c r="E50">
        <v>1711.2332408708858</v>
      </c>
      <c r="F50">
        <v>0</v>
      </c>
      <c r="G50">
        <v>1711.2332408708871</v>
      </c>
      <c r="H50">
        <v>1528.8490548549385</v>
      </c>
      <c r="I50">
        <v>0</v>
      </c>
      <c r="J50">
        <v>1711.2332408708858</v>
      </c>
    </row>
    <row r="51" spans="1:10" x14ac:dyDescent="0.25">
      <c r="A51" t="s">
        <v>274</v>
      </c>
      <c r="B51">
        <v>2115.5622614758381</v>
      </c>
      <c r="C51">
        <v>3100.7101388078331</v>
      </c>
      <c r="D51">
        <v>2115.5622614758386</v>
      </c>
      <c r="E51">
        <v>3100.7101388078336</v>
      </c>
      <c r="F51">
        <v>0</v>
      </c>
      <c r="G51">
        <v>3100.7101388078363</v>
      </c>
      <c r="H51">
        <v>3368.8433608474988</v>
      </c>
      <c r="I51">
        <v>0</v>
      </c>
      <c r="J51">
        <v>3100.7101388078331</v>
      </c>
    </row>
    <row r="52" spans="1:10" x14ac:dyDescent="0.25">
      <c r="A52" t="s">
        <v>243</v>
      </c>
      <c r="B52">
        <v>172.74720810072961</v>
      </c>
      <c r="C52">
        <v>284.50184457249225</v>
      </c>
      <c r="D52">
        <v>172.74720810072961</v>
      </c>
      <c r="E52">
        <v>284.50184457249225</v>
      </c>
      <c r="F52">
        <v>0</v>
      </c>
      <c r="G52">
        <v>284.50184457249247</v>
      </c>
      <c r="H52">
        <v>386.27848198337858</v>
      </c>
      <c r="I52">
        <v>0</v>
      </c>
      <c r="J52">
        <v>284.50184457249225</v>
      </c>
    </row>
    <row r="53" spans="1:10" x14ac:dyDescent="0.25">
      <c r="A53" t="s">
        <v>244</v>
      </c>
      <c r="B53">
        <v>135.11199760518221</v>
      </c>
      <c r="C53">
        <v>203.88568132681328</v>
      </c>
      <c r="D53">
        <v>135.11199760518224</v>
      </c>
      <c r="E53">
        <v>203.88568132681331</v>
      </c>
      <c r="F53">
        <v>0</v>
      </c>
      <c r="G53">
        <v>203.88568132681351</v>
      </c>
      <c r="H53">
        <v>273.01508272440128</v>
      </c>
      <c r="I53">
        <v>0</v>
      </c>
      <c r="J53">
        <v>203.88568132681331</v>
      </c>
    </row>
    <row r="54" spans="1:10" x14ac:dyDescent="0.25">
      <c r="A54" t="s">
        <v>245</v>
      </c>
      <c r="B54">
        <v>3682.7224031140945</v>
      </c>
      <c r="C54">
        <v>3478.502878555511</v>
      </c>
      <c r="D54">
        <v>3682.7224031140959</v>
      </c>
      <c r="E54">
        <v>3478.502878555511</v>
      </c>
      <c r="F54">
        <v>0</v>
      </c>
      <c r="G54">
        <v>3478.5028785555141</v>
      </c>
      <c r="H54">
        <v>1974.0429081027785</v>
      </c>
      <c r="I54">
        <v>0</v>
      </c>
      <c r="J54">
        <v>3478.502878555511</v>
      </c>
    </row>
    <row r="55" spans="1:10" x14ac:dyDescent="0.25">
      <c r="A55" t="s">
        <v>246</v>
      </c>
      <c r="B55">
        <v>45.77869821252667</v>
      </c>
      <c r="C55">
        <v>40.540767420829383</v>
      </c>
      <c r="D55">
        <v>45.778698212526677</v>
      </c>
      <c r="E55">
        <v>40.54076742082939</v>
      </c>
      <c r="F55">
        <v>0</v>
      </c>
      <c r="G55">
        <v>40.540767420829418</v>
      </c>
      <c r="H55">
        <v>51.895754524216166</v>
      </c>
      <c r="I55">
        <v>0</v>
      </c>
      <c r="J55">
        <v>40.540767420829383</v>
      </c>
    </row>
    <row r="56" spans="1:10" x14ac:dyDescent="0.25">
      <c r="A56" t="s">
        <v>247</v>
      </c>
      <c r="B56">
        <v>35.576607088132114</v>
      </c>
      <c r="C56">
        <v>55.674502893262328</v>
      </c>
      <c r="D56">
        <v>35.576607088132114</v>
      </c>
      <c r="E56">
        <v>55.674502893262328</v>
      </c>
      <c r="F56">
        <v>0</v>
      </c>
      <c r="G56">
        <v>55.674502893262378</v>
      </c>
      <c r="H56">
        <v>68.998253964216516</v>
      </c>
      <c r="I56">
        <v>0</v>
      </c>
      <c r="J56">
        <v>55.674502893262328</v>
      </c>
    </row>
    <row r="57" spans="1:10" x14ac:dyDescent="0.25">
      <c r="A57" t="s">
        <v>248</v>
      </c>
      <c r="B57">
        <v>1572.1258903185535</v>
      </c>
      <c r="C57">
        <v>5483.401880366443</v>
      </c>
      <c r="D57">
        <v>1572.125890318554</v>
      </c>
      <c r="E57">
        <v>5483.401880366443</v>
      </c>
      <c r="F57">
        <v>0</v>
      </c>
      <c r="G57">
        <v>5483.4018803664476</v>
      </c>
      <c r="H57">
        <v>4630.4327918701629</v>
      </c>
      <c r="I57">
        <v>0</v>
      </c>
      <c r="J57">
        <v>5483.401880366443</v>
      </c>
    </row>
    <row r="58" spans="1:10" x14ac:dyDescent="0.25">
      <c r="A58" t="s">
        <v>249</v>
      </c>
      <c r="B58">
        <v>16.506216591918655</v>
      </c>
      <c r="C58">
        <v>50.487514735671198</v>
      </c>
      <c r="D58">
        <v>16.506216591918655</v>
      </c>
      <c r="E58">
        <v>50.487514735671205</v>
      </c>
      <c r="F58">
        <v>0</v>
      </c>
      <c r="G58">
        <v>50.487514735671247</v>
      </c>
      <c r="H58">
        <v>43.167690085327465</v>
      </c>
      <c r="I58">
        <v>0</v>
      </c>
      <c r="J58">
        <v>50.487514735671205</v>
      </c>
    </row>
    <row r="59" spans="1:10" x14ac:dyDescent="0.25">
      <c r="A59" t="s">
        <v>250</v>
      </c>
      <c r="B59">
        <v>5422075.3941154629</v>
      </c>
      <c r="C59">
        <v>2509617.8974819807</v>
      </c>
      <c r="D59">
        <v>5422075.3941154638</v>
      </c>
      <c r="E59">
        <v>2509617.8974819807</v>
      </c>
      <c r="F59">
        <v>0</v>
      </c>
      <c r="G59">
        <v>2509617.8974819831</v>
      </c>
      <c r="H59">
        <v>2579602.3811680106</v>
      </c>
      <c r="I59">
        <v>0</v>
      </c>
      <c r="J59">
        <v>2509617.8974819807</v>
      </c>
    </row>
    <row r="60" spans="1:10" x14ac:dyDescent="0.25">
      <c r="A60" t="s">
        <v>262</v>
      </c>
      <c r="B60">
        <v>5424028.6065137256</v>
      </c>
      <c r="C60">
        <v>2513579.4100917876</v>
      </c>
      <c r="D60">
        <v>5424028.6065137265</v>
      </c>
      <c r="E60">
        <v>2513579.410091788</v>
      </c>
      <c r="F60">
        <v>0</v>
      </c>
      <c r="G60">
        <v>2513579.4100917899</v>
      </c>
      <c r="H60">
        <v>2583296.3375134841</v>
      </c>
      <c r="I60">
        <v>0</v>
      </c>
      <c r="J60">
        <v>2513579.4100917876</v>
      </c>
    </row>
    <row r="61" spans="1:10" x14ac:dyDescent="0.25">
      <c r="A61" t="s">
        <v>263</v>
      </c>
      <c r="B61">
        <v>5475384.1551748123</v>
      </c>
      <c r="C61">
        <v>2690767.8776495457</v>
      </c>
      <c r="D61">
        <v>5475384.1551748132</v>
      </c>
      <c r="E61">
        <v>2690767.8776495457</v>
      </c>
      <c r="F61">
        <v>0</v>
      </c>
      <c r="G61">
        <v>2690767.877649548</v>
      </c>
      <c r="H61">
        <v>2733068.0141045088</v>
      </c>
      <c r="I61">
        <v>0</v>
      </c>
      <c r="J61">
        <v>2690767.8776495457</v>
      </c>
    </row>
    <row r="62" spans="1:10" x14ac:dyDescent="0.25">
      <c r="A62" t="s">
        <v>376</v>
      </c>
    </row>
    <row r="63" spans="1:10" x14ac:dyDescent="0.25">
      <c r="A63" t="s">
        <v>240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242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243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244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246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247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5" spans="1:10" x14ac:dyDescent="0.25">
      <c r="A75" s="41" t="s">
        <v>377</v>
      </c>
      <c r="B75" s="41"/>
      <c r="C75" s="41"/>
      <c r="D75" s="41"/>
    </row>
    <row r="76" spans="1:10" x14ac:dyDescent="0.25">
      <c r="A76" s="41"/>
      <c r="B76" s="41" t="s">
        <v>346</v>
      </c>
      <c r="C76" s="41"/>
      <c r="D76" s="41"/>
    </row>
    <row r="77" spans="1:10" x14ac:dyDescent="0.25">
      <c r="A77" s="41"/>
      <c r="B77" s="41" t="s">
        <v>338</v>
      </c>
      <c r="C77" s="41"/>
      <c r="D77" s="41"/>
    </row>
    <row r="78" spans="1:10" x14ac:dyDescent="0.25">
      <c r="A78" s="41"/>
      <c r="B78" s="41" t="s">
        <v>339</v>
      </c>
      <c r="C78" s="41" t="s">
        <v>340</v>
      </c>
      <c r="D78" s="41" t="s">
        <v>341</v>
      </c>
    </row>
    <row r="79" spans="1:10" x14ac:dyDescent="0.25">
      <c r="A79" s="41" t="s">
        <v>346</v>
      </c>
      <c r="B79" s="41">
        <v>0</v>
      </c>
      <c r="C79" s="41">
        <v>0</v>
      </c>
      <c r="D79" s="41">
        <v>0.3667506065664104</v>
      </c>
    </row>
    <row r="80" spans="1:10" x14ac:dyDescent="0.25">
      <c r="A80" s="41" t="s">
        <v>370</v>
      </c>
      <c r="B80" s="41">
        <v>2.4686842776373761E-2</v>
      </c>
      <c r="C80" s="41">
        <v>2.4193105920846288E-2</v>
      </c>
      <c r="D80" s="41">
        <v>0</v>
      </c>
    </row>
    <row r="81" spans="1:4" x14ac:dyDescent="0.25">
      <c r="A81" s="41" t="s">
        <v>5</v>
      </c>
      <c r="B81" s="41">
        <v>7.4060252028678705E-2</v>
      </c>
      <c r="C81" s="41">
        <v>0</v>
      </c>
      <c r="D81" s="41">
        <v>0</v>
      </c>
    </row>
    <row r="82" spans="1:4" x14ac:dyDescent="0.25">
      <c r="A82" s="41" t="s">
        <v>2</v>
      </c>
      <c r="B82" s="41">
        <v>0</v>
      </c>
      <c r="C82" s="41">
        <v>0.24878276923274004</v>
      </c>
      <c r="D82" s="41">
        <v>0.24878276923274004</v>
      </c>
    </row>
    <row r="83" spans="1:4" x14ac:dyDescent="0.25">
      <c r="A83" s="41" t="s">
        <v>372</v>
      </c>
      <c r="B83" s="41">
        <v>0</v>
      </c>
      <c r="C83" s="41">
        <v>0.13829697015025599</v>
      </c>
      <c r="D83" s="41">
        <v>0</v>
      </c>
    </row>
    <row r="84" spans="1:4" x14ac:dyDescent="0.25">
      <c r="A84" s="41" t="s">
        <v>373</v>
      </c>
      <c r="B84" s="41">
        <v>0</v>
      </c>
      <c r="C84" s="41">
        <v>2.2553083214488547E-2</v>
      </c>
      <c r="D84" s="41">
        <v>0</v>
      </c>
    </row>
    <row r="85" spans="1:4" x14ac:dyDescent="0.25">
      <c r="A85" s="41" t="s">
        <v>371</v>
      </c>
      <c r="B85" s="41">
        <v>0.19669046043116151</v>
      </c>
      <c r="C85" s="41">
        <v>0.19275665122253832</v>
      </c>
      <c r="D85" s="41">
        <v>0</v>
      </c>
    </row>
    <row r="86" spans="1:4" x14ac:dyDescent="0.25">
      <c r="A86" s="41"/>
      <c r="B86" s="41"/>
      <c r="C86" s="41"/>
      <c r="D86" s="41"/>
    </row>
    <row r="87" spans="1:4" x14ac:dyDescent="0.25">
      <c r="A87" s="41"/>
      <c r="B87" s="41"/>
      <c r="C87" s="41"/>
      <c r="D87" s="41"/>
    </row>
    <row r="88" spans="1:4" x14ac:dyDescent="0.25">
      <c r="A88" s="41"/>
      <c r="B88" s="41"/>
      <c r="C88" s="41">
        <f>SUM(C79:C85)</f>
        <v>0.62658257974086928</v>
      </c>
      <c r="D88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CDD8-BA17-4740-9328-38CAAC45C219}">
  <dimension ref="A2:B25"/>
  <sheetViews>
    <sheetView workbookViewId="0">
      <selection activeCell="K31" sqref="K31"/>
    </sheetView>
  </sheetViews>
  <sheetFormatPr defaultRowHeight="15" x14ac:dyDescent="0.25"/>
  <cols>
    <col min="1" max="1" width="60.42578125" bestFit="1" customWidth="1"/>
    <col min="2" max="2" width="13.28515625" bestFit="1" customWidth="1"/>
  </cols>
  <sheetData>
    <row r="2" spans="1:2" x14ac:dyDescent="0.25">
      <c r="A2" t="s">
        <v>409</v>
      </c>
      <c r="B2" t="s">
        <v>410</v>
      </c>
    </row>
    <row r="3" spans="1:2" x14ac:dyDescent="0.25">
      <c r="A3" t="s">
        <v>411</v>
      </c>
      <c r="B3" t="s">
        <v>412</v>
      </c>
    </row>
    <row r="4" spans="1:2" x14ac:dyDescent="0.25">
      <c r="A4" t="s">
        <v>405</v>
      </c>
      <c r="B4" t="s">
        <v>413</v>
      </c>
    </row>
    <row r="5" spans="1:2" x14ac:dyDescent="0.25">
      <c r="A5" t="s">
        <v>408</v>
      </c>
      <c r="B5" t="s">
        <v>414</v>
      </c>
    </row>
    <row r="6" spans="1:2" x14ac:dyDescent="0.25">
      <c r="A6" t="s">
        <v>415</v>
      </c>
      <c r="B6" t="s">
        <v>416</v>
      </c>
    </row>
    <row r="7" spans="1:2" x14ac:dyDescent="0.25">
      <c r="A7" t="s">
        <v>175</v>
      </c>
      <c r="B7" s="42">
        <v>0.24839999999999998</v>
      </c>
    </row>
    <row r="8" spans="1:2" x14ac:dyDescent="0.25">
      <c r="A8" t="s">
        <v>176</v>
      </c>
      <c r="B8" s="42">
        <v>0.17349999999999999</v>
      </c>
    </row>
    <row r="9" spans="1:2" x14ac:dyDescent="0.25">
      <c r="A9" t="s">
        <v>178</v>
      </c>
      <c r="B9" s="42">
        <v>8.6999999999999994E-3</v>
      </c>
    </row>
    <row r="10" spans="1:2" x14ac:dyDescent="0.25">
      <c r="A10" t="s">
        <v>179</v>
      </c>
      <c r="B10" s="42">
        <v>7.6899999999999996E-2</v>
      </c>
    </row>
    <row r="11" spans="1:2" x14ac:dyDescent="0.25">
      <c r="A11" t="s">
        <v>180</v>
      </c>
      <c r="B11" s="42">
        <v>0.1211</v>
      </c>
    </row>
    <row r="12" spans="1:2" x14ac:dyDescent="0.25">
      <c r="A12" t="s">
        <v>181</v>
      </c>
      <c r="B12" s="42">
        <v>0</v>
      </c>
    </row>
    <row r="13" spans="1:2" x14ac:dyDescent="0.25">
      <c r="A13" t="s">
        <v>406</v>
      </c>
      <c r="B13" s="42">
        <v>1.0799999999999999E-2</v>
      </c>
    </row>
    <row r="14" spans="1:2" x14ac:dyDescent="0.25">
      <c r="A14" t="s">
        <v>183</v>
      </c>
      <c r="B14" s="42">
        <v>0.03</v>
      </c>
    </row>
    <row r="15" spans="1:2" x14ac:dyDescent="0.25">
      <c r="A15" t="s">
        <v>184</v>
      </c>
      <c r="B15" s="42">
        <v>0.03</v>
      </c>
    </row>
    <row r="16" spans="1:2" x14ac:dyDescent="0.25">
      <c r="A16" t="s">
        <v>407</v>
      </c>
      <c r="B16" s="42">
        <v>8.0000000000000004E-4</v>
      </c>
    </row>
    <row r="17" spans="1:2" x14ac:dyDescent="0.25">
      <c r="A17" t="s">
        <v>186</v>
      </c>
      <c r="B17" s="42">
        <v>6.2000000000000006E-3</v>
      </c>
    </row>
    <row r="18" spans="1:2" x14ac:dyDescent="0.25">
      <c r="A18" t="s">
        <v>187</v>
      </c>
      <c r="B18" s="42">
        <v>9.2999999999999992E-3</v>
      </c>
    </row>
    <row r="19" spans="1:2" x14ac:dyDescent="0.25">
      <c r="A19" t="s">
        <v>188</v>
      </c>
      <c r="B19" s="42">
        <v>1.7000000000000001E-3</v>
      </c>
    </row>
    <row r="20" spans="1:2" x14ac:dyDescent="0.25">
      <c r="A20" t="s">
        <v>189</v>
      </c>
      <c r="B20" s="42">
        <v>0.16239999999999999</v>
      </c>
    </row>
    <row r="21" spans="1:2" x14ac:dyDescent="0.25">
      <c r="A21" t="s">
        <v>190</v>
      </c>
      <c r="B21" s="42">
        <v>6.5299999999999997E-2</v>
      </c>
    </row>
    <row r="22" spans="1:2" x14ac:dyDescent="0.25">
      <c r="A22" t="s">
        <v>191</v>
      </c>
      <c r="B22" s="42">
        <v>3.0000000000000003E-4</v>
      </c>
    </row>
    <row r="23" spans="1:2" x14ac:dyDescent="0.25">
      <c r="A23" t="s">
        <v>192</v>
      </c>
      <c r="B23" s="42">
        <v>3.6999999999999997E-3</v>
      </c>
    </row>
    <row r="24" spans="1:2" x14ac:dyDescent="0.25">
      <c r="A24" t="s">
        <v>193</v>
      </c>
      <c r="B24" s="42">
        <v>4.1400000000000006E-2</v>
      </c>
    </row>
    <row r="25" spans="1:2" x14ac:dyDescent="0.25">
      <c r="A25" t="s">
        <v>194</v>
      </c>
      <c r="B25" s="42">
        <v>9.4999999999999529E-3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A018-31D9-4D7F-9FF1-84BABA9526F4}">
  <dimension ref="A2:L104"/>
  <sheetViews>
    <sheetView workbookViewId="0">
      <selection activeCell="G23" sqref="G23"/>
    </sheetView>
  </sheetViews>
  <sheetFormatPr defaultRowHeight="15" x14ac:dyDescent="0.25"/>
  <cols>
    <col min="1" max="1" width="46.28515625" bestFit="1" customWidth="1"/>
    <col min="2" max="2" width="57.140625" bestFit="1" customWidth="1"/>
    <col min="3" max="3" width="32.7109375" bestFit="1" customWidth="1"/>
    <col min="5" max="5" width="14.85546875" bestFit="1" customWidth="1"/>
    <col min="6" max="6" width="33.140625" bestFit="1" customWidth="1"/>
    <col min="7" max="7" width="43.85546875" bestFit="1" customWidth="1"/>
    <col min="8" max="8" width="12.85546875" bestFit="1" customWidth="1"/>
    <col min="10" max="10" width="43.85546875" bestFit="1" customWidth="1"/>
  </cols>
  <sheetData>
    <row r="2" spans="1:10" x14ac:dyDescent="0.25">
      <c r="A2" t="s">
        <v>378</v>
      </c>
    </row>
    <row r="3" spans="1:10" x14ac:dyDescent="0.25">
      <c r="A3" s="19"/>
      <c r="B3" s="19" t="s">
        <v>162</v>
      </c>
      <c r="C3" s="20" t="s">
        <v>162</v>
      </c>
      <c r="F3" t="s">
        <v>266</v>
      </c>
    </row>
    <row r="4" spans="1:10" x14ac:dyDescent="0.25">
      <c r="A4" s="19" t="s">
        <v>256</v>
      </c>
      <c r="B4" s="19" t="s">
        <v>379</v>
      </c>
      <c r="C4" s="20" t="s">
        <v>301</v>
      </c>
      <c r="E4" s="23" t="s">
        <v>285</v>
      </c>
      <c r="F4" s="23">
        <f>C10</f>
        <v>53.070283495475145</v>
      </c>
      <c r="H4" s="25" t="s">
        <v>293</v>
      </c>
      <c r="I4" s="30" t="s">
        <v>294</v>
      </c>
      <c r="J4" s="30" t="s">
        <v>295</v>
      </c>
    </row>
    <row r="5" spans="1:10" x14ac:dyDescent="0.25">
      <c r="A5" s="19" t="s">
        <v>175</v>
      </c>
      <c r="B5" s="19">
        <v>239.99017899489533</v>
      </c>
      <c r="C5" s="19">
        <f t="shared" ref="C5:C24" si="0">B5*0.453592</f>
        <v>108.85762527065256</v>
      </c>
      <c r="E5" s="23" t="s">
        <v>286</v>
      </c>
      <c r="F5" s="23">
        <f>C5*I6</f>
        <v>6.5947495657596882</v>
      </c>
      <c r="H5" s="26" t="s">
        <v>296</v>
      </c>
      <c r="I5" s="26">
        <f>0.8*58.693/I11</f>
        <v>0.482677659104226</v>
      </c>
      <c r="J5" s="31">
        <f>I5</f>
        <v>0.482677659104226</v>
      </c>
    </row>
    <row r="6" spans="1:10" x14ac:dyDescent="0.25">
      <c r="A6" s="19" t="s">
        <v>176</v>
      </c>
      <c r="B6" s="19">
        <v>167.62599056205451</v>
      </c>
      <c r="C6" s="19">
        <f t="shared" si="0"/>
        <v>76.033808311023435</v>
      </c>
      <c r="E6" s="23" t="s">
        <v>287</v>
      </c>
      <c r="F6" s="23">
        <f>C9</f>
        <v>33.700287372436321</v>
      </c>
      <c r="H6" s="26" t="s">
        <v>297</v>
      </c>
      <c r="I6" s="26">
        <f>0.1*58.933/I11</f>
        <v>6.0581420450456933E-2</v>
      </c>
      <c r="J6" s="31">
        <f t="shared" ref="J6:J9" si="1">I6</f>
        <v>6.0581420450456933E-2</v>
      </c>
    </row>
    <row r="7" spans="1:10" x14ac:dyDescent="0.25">
      <c r="A7" s="19" t="s">
        <v>177</v>
      </c>
      <c r="B7" s="19">
        <v>0</v>
      </c>
      <c r="C7" s="19">
        <f t="shared" si="0"/>
        <v>0</v>
      </c>
      <c r="E7" s="23" t="s">
        <v>288</v>
      </c>
      <c r="F7" s="23">
        <f>C6</f>
        <v>76.033808311023435</v>
      </c>
      <c r="H7" s="26" t="s">
        <v>298</v>
      </c>
      <c r="I7" s="26">
        <f>0.1*54.938/I11</f>
        <v>5.6474675932112792E-2</v>
      </c>
      <c r="J7" s="31">
        <f t="shared" si="1"/>
        <v>5.6474675932112792E-2</v>
      </c>
    </row>
    <row r="8" spans="1:10" x14ac:dyDescent="0.25">
      <c r="A8" s="19" t="s">
        <v>178</v>
      </c>
      <c r="B8" s="19">
        <v>8.4054531290482668</v>
      </c>
      <c r="C8" s="19">
        <f t="shared" si="0"/>
        <v>3.8126462957112612</v>
      </c>
      <c r="E8" s="23" t="s">
        <v>289</v>
      </c>
      <c r="F8" s="23">
        <f>C5*I9</f>
        <v>7.7660329503626562</v>
      </c>
      <c r="H8" s="26" t="s">
        <v>299</v>
      </c>
      <c r="I8" s="26">
        <f>2*15.999/I11</f>
        <v>0.32893019048304362</v>
      </c>
      <c r="J8" s="31">
        <f t="shared" si="1"/>
        <v>0.32893019048304362</v>
      </c>
    </row>
    <row r="9" spans="1:10" x14ac:dyDescent="0.25">
      <c r="A9" s="19" t="s">
        <v>179</v>
      </c>
      <c r="B9" s="19">
        <v>74.296476508484105</v>
      </c>
      <c r="C9" s="19">
        <f t="shared" si="0"/>
        <v>33.700287372436321</v>
      </c>
      <c r="E9" s="23" t="s">
        <v>290</v>
      </c>
      <c r="F9" s="23">
        <f>C5*I7</f>
        <v>6.1476991098994755</v>
      </c>
      <c r="H9" s="26" t="s">
        <v>303</v>
      </c>
      <c r="I9" s="26">
        <f>6.94/I11</f>
        <v>7.1341193885627943E-2</v>
      </c>
      <c r="J9" s="31">
        <f t="shared" si="1"/>
        <v>7.1341193885627943E-2</v>
      </c>
    </row>
    <row r="10" spans="1:10" x14ac:dyDescent="0.25">
      <c r="A10" s="19" t="s">
        <v>257</v>
      </c>
      <c r="B10" s="19">
        <v>117.00004298020059</v>
      </c>
      <c r="C10" s="19">
        <f t="shared" si="0"/>
        <v>53.070283495475145</v>
      </c>
      <c r="E10" s="23" t="s">
        <v>291</v>
      </c>
      <c r="F10" s="23">
        <f>C5*I5</f>
        <v>52.543143741283615</v>
      </c>
    </row>
    <row r="11" spans="1:10" x14ac:dyDescent="0.25">
      <c r="A11" s="19" t="s">
        <v>181</v>
      </c>
      <c r="B11" s="19">
        <v>0</v>
      </c>
      <c r="C11" s="19">
        <f t="shared" si="0"/>
        <v>0</v>
      </c>
      <c r="E11" s="23" t="s">
        <v>292</v>
      </c>
      <c r="F11" s="23">
        <f>C19+C20</f>
        <v>99.786156498098194</v>
      </c>
      <c r="H11" s="32" t="s">
        <v>380</v>
      </c>
      <c r="I11">
        <v>97.278999999999996</v>
      </c>
    </row>
    <row r="12" spans="1:10" ht="15.75" x14ac:dyDescent="0.3">
      <c r="A12" s="19" t="s">
        <v>258</v>
      </c>
      <c r="B12" s="19">
        <v>10.434355608473711</v>
      </c>
      <c r="C12" s="19">
        <f t="shared" si="0"/>
        <v>4.7329402291588076</v>
      </c>
    </row>
    <row r="13" spans="1:10" x14ac:dyDescent="0.25">
      <c r="A13" s="19" t="s">
        <v>183</v>
      </c>
      <c r="B13" s="19">
        <v>28.984321134649196</v>
      </c>
      <c r="C13" s="19">
        <f t="shared" si="0"/>
        <v>13.147056192107797</v>
      </c>
    </row>
    <row r="14" spans="1:10" x14ac:dyDescent="0.25">
      <c r="A14" s="19" t="s">
        <v>184</v>
      </c>
      <c r="B14" s="19">
        <v>28.984321134649196</v>
      </c>
      <c r="C14" s="19">
        <f t="shared" si="0"/>
        <v>13.147056192107797</v>
      </c>
    </row>
    <row r="15" spans="1:10" x14ac:dyDescent="0.25">
      <c r="A15" s="19" t="s">
        <v>185</v>
      </c>
      <c r="B15" s="19">
        <v>0.77291523025731201</v>
      </c>
      <c r="C15" s="19">
        <f t="shared" si="0"/>
        <v>0.35058816512287466</v>
      </c>
    </row>
    <row r="16" spans="1:10" x14ac:dyDescent="0.25">
      <c r="A16" s="19" t="s">
        <v>186</v>
      </c>
      <c r="B16" s="19">
        <v>5.9900930344941683</v>
      </c>
      <c r="C16" s="19">
        <f t="shared" si="0"/>
        <v>2.7170582797022789</v>
      </c>
    </row>
    <row r="17" spans="1:4" x14ac:dyDescent="0.25">
      <c r="A17" s="19" t="s">
        <v>187</v>
      </c>
      <c r="B17" s="19">
        <v>8.9851395517412502</v>
      </c>
      <c r="C17" s="19">
        <f t="shared" si="0"/>
        <v>4.0755874195534174</v>
      </c>
    </row>
    <row r="18" spans="1:4" x14ac:dyDescent="0.25">
      <c r="A18" s="19" t="s">
        <v>188</v>
      </c>
      <c r="B18" s="19">
        <v>1.6424448642967879</v>
      </c>
      <c r="C18" s="19">
        <f t="shared" si="0"/>
        <v>0.74499985088610865</v>
      </c>
    </row>
    <row r="19" spans="1:4" x14ac:dyDescent="0.25">
      <c r="A19" s="19" t="s">
        <v>189</v>
      </c>
      <c r="B19" s="19">
        <v>156.90179174223431</v>
      </c>
      <c r="C19" s="19">
        <f t="shared" si="0"/>
        <v>71.169397519943544</v>
      </c>
    </row>
    <row r="20" spans="1:4" x14ac:dyDescent="0.25">
      <c r="A20" s="19" t="s">
        <v>190</v>
      </c>
      <c r="B20" s="19">
        <v>63.089205669753085</v>
      </c>
      <c r="C20" s="19">
        <f t="shared" si="0"/>
        <v>28.616758978154643</v>
      </c>
    </row>
    <row r="21" spans="1:4" x14ac:dyDescent="0.25">
      <c r="A21" s="19" t="s">
        <v>259</v>
      </c>
      <c r="B21" s="19">
        <v>0.28984321134649199</v>
      </c>
      <c r="C21" s="19">
        <f t="shared" si="0"/>
        <v>0.13147056192107801</v>
      </c>
    </row>
    <row r="22" spans="1:4" x14ac:dyDescent="0.25">
      <c r="A22" s="19" t="s">
        <v>192</v>
      </c>
      <c r="B22" s="19">
        <v>3.5747329399400676</v>
      </c>
      <c r="C22" s="19">
        <f t="shared" si="0"/>
        <v>1.6214702636932952</v>
      </c>
    </row>
    <row r="23" spans="1:4" x14ac:dyDescent="0.25">
      <c r="A23" s="19" t="s">
        <v>193</v>
      </c>
      <c r="B23" s="19">
        <v>39.998363165815896</v>
      </c>
      <c r="C23" s="19">
        <f t="shared" si="0"/>
        <v>18.142937545108765</v>
      </c>
    </row>
    <row r="24" spans="1:4" ht="15.75" thickBot="1" x14ac:dyDescent="0.3">
      <c r="A24" s="29" t="s">
        <v>194</v>
      </c>
      <c r="B24" s="29">
        <v>9.1783683593055336</v>
      </c>
      <c r="C24" s="29">
        <f t="shared" si="0"/>
        <v>4.1632344608341159</v>
      </c>
    </row>
    <row r="25" spans="1:4" ht="15.75" thickBot="1" x14ac:dyDescent="0.3">
      <c r="A25" s="33" t="s">
        <v>381</v>
      </c>
      <c r="B25" s="34">
        <f>SUM(B5:B24)</f>
        <v>966.14403782164004</v>
      </c>
      <c r="C25" s="35">
        <f>SUM(C5:C24)</f>
        <v>438.23520640359334</v>
      </c>
    </row>
    <row r="28" spans="1:4" x14ac:dyDescent="0.25">
      <c r="A28" s="51" t="s">
        <v>382</v>
      </c>
      <c r="B28" s="52"/>
      <c r="C28" s="36">
        <f>SUM(C5:C18)-H47</f>
        <v>272.90948279881729</v>
      </c>
    </row>
    <row r="31" spans="1:4" x14ac:dyDescent="0.25">
      <c r="A31" s="19" t="s">
        <v>383</v>
      </c>
      <c r="B31" s="19" t="s">
        <v>384</v>
      </c>
      <c r="C31" t="s">
        <v>385</v>
      </c>
    </row>
    <row r="32" spans="1:4" x14ac:dyDescent="0.25">
      <c r="A32" s="19" t="s">
        <v>386</v>
      </c>
      <c r="B32" s="19">
        <f>C5*B48/C54</f>
        <v>41.336978874459525</v>
      </c>
      <c r="C32">
        <f>B83*C5</f>
        <v>26.800646853196763</v>
      </c>
      <c r="D32">
        <f>B83*C5</f>
        <v>26.800646853196763</v>
      </c>
    </row>
    <row r="33" spans="1:8" x14ac:dyDescent="0.25">
      <c r="A33" s="19" t="s">
        <v>387</v>
      </c>
      <c r="B33" s="19">
        <f>H46-H47</f>
        <v>11.589829220354574</v>
      </c>
      <c r="C33" s="19">
        <f>B33</f>
        <v>11.589829220354574</v>
      </c>
    </row>
    <row r="34" spans="1:8" x14ac:dyDescent="0.25">
      <c r="A34" s="19" t="s">
        <v>388</v>
      </c>
      <c r="B34" s="19">
        <f>C9</f>
        <v>33.700287372436321</v>
      </c>
      <c r="C34" s="19">
        <f>B34</f>
        <v>33.700287372436321</v>
      </c>
    </row>
    <row r="35" spans="1:8" x14ac:dyDescent="0.25">
      <c r="A35" s="19" t="s">
        <v>389</v>
      </c>
      <c r="B35" s="19">
        <f>C5*B45/C52</f>
        <v>17.345321630654823</v>
      </c>
      <c r="C35">
        <f>B79*B63*C5</f>
        <v>17.343767247503031</v>
      </c>
    </row>
    <row r="36" spans="1:8" x14ac:dyDescent="0.25">
      <c r="A36" s="19" t="s">
        <v>390</v>
      </c>
      <c r="B36" s="19">
        <f>C5*B44/C51</f>
        <v>138.54236656949462</v>
      </c>
      <c r="C36">
        <f>B79*B62*C5</f>
        <v>138.53528519523016</v>
      </c>
    </row>
    <row r="37" spans="1:8" x14ac:dyDescent="0.25">
      <c r="A37" s="19" t="s">
        <v>391</v>
      </c>
      <c r="B37" s="19">
        <f>C5*B46/C53</f>
        <v>16.896773085073367</v>
      </c>
      <c r="C37">
        <f>B79*B64*C5</f>
        <v>16.897276304103233</v>
      </c>
    </row>
    <row r="38" spans="1:8" x14ac:dyDescent="0.25">
      <c r="A38" s="24" t="s">
        <v>392</v>
      </c>
      <c r="B38" s="19">
        <f>SUM(B32:B37)</f>
        <v>259.41155675247325</v>
      </c>
    </row>
    <row r="42" spans="1:8" x14ac:dyDescent="0.25">
      <c r="F42" s="3" t="s">
        <v>393</v>
      </c>
    </row>
    <row r="43" spans="1:8" x14ac:dyDescent="0.25">
      <c r="A43" s="25" t="s">
        <v>293</v>
      </c>
      <c r="B43" s="25" t="s">
        <v>294</v>
      </c>
      <c r="C43" s="25" t="s">
        <v>295</v>
      </c>
      <c r="F43" s="19" t="s">
        <v>394</v>
      </c>
      <c r="G43" s="36">
        <f>C19+C20</f>
        <v>99.786156498098194</v>
      </c>
    </row>
    <row r="44" spans="1:8" x14ac:dyDescent="0.25">
      <c r="A44" s="26" t="s">
        <v>296</v>
      </c>
      <c r="B44" s="26">
        <f>0.8*58.693/B50</f>
        <v>0.482677659104226</v>
      </c>
      <c r="C44" s="31">
        <f>B44</f>
        <v>0.482677659104226</v>
      </c>
      <c r="F44" s="19" t="s">
        <v>395</v>
      </c>
      <c r="G44" s="36">
        <f>H47</f>
        <v>41.480454275120572</v>
      </c>
    </row>
    <row r="45" spans="1:8" x14ac:dyDescent="0.25">
      <c r="A45" s="26" t="s">
        <v>297</v>
      </c>
      <c r="B45" s="26">
        <f>0.1*58.933/B50</f>
        <v>6.0581420450456933E-2</v>
      </c>
      <c r="C45" s="31">
        <f t="shared" ref="C45:C48" si="2">B45</f>
        <v>6.0581420450456933E-2</v>
      </c>
    </row>
    <row r="46" spans="1:8" x14ac:dyDescent="0.25">
      <c r="A46" s="26" t="s">
        <v>298</v>
      </c>
      <c r="B46" s="26">
        <f>0.1*54.938/B50</f>
        <v>5.6474675932112792E-2</v>
      </c>
      <c r="C46" s="31">
        <f t="shared" si="2"/>
        <v>5.6474675932112792E-2</v>
      </c>
      <c r="G46" t="s">
        <v>396</v>
      </c>
      <c r="H46">
        <f>C10</f>
        <v>53.070283495475145</v>
      </c>
    </row>
    <row r="47" spans="1:8" x14ac:dyDescent="0.25">
      <c r="A47" s="26" t="s">
        <v>299</v>
      </c>
      <c r="B47" s="26">
        <f>2*15.999/B50</f>
        <v>0.32893019048304362</v>
      </c>
      <c r="C47" s="31">
        <f t="shared" si="2"/>
        <v>0.32893019048304362</v>
      </c>
      <c r="G47" t="s">
        <v>397</v>
      </c>
      <c r="H47">
        <f>L53*H46</f>
        <v>41.480454275120572</v>
      </c>
    </row>
    <row r="48" spans="1:8" x14ac:dyDescent="0.25">
      <c r="A48" s="26" t="s">
        <v>303</v>
      </c>
      <c r="B48" s="26">
        <f>6.94/B50</f>
        <v>7.1341193885627943E-2</v>
      </c>
      <c r="C48" s="31">
        <f t="shared" si="2"/>
        <v>7.1341193885627943E-2</v>
      </c>
    </row>
    <row r="50" spans="1:12" x14ac:dyDescent="0.25">
      <c r="A50" s="32" t="s">
        <v>380</v>
      </c>
      <c r="B50">
        <v>97.278999999999996</v>
      </c>
      <c r="F50" t="s">
        <v>398</v>
      </c>
    </row>
    <row r="51" spans="1:12" x14ac:dyDescent="0.25">
      <c r="A51" s="22" t="s">
        <v>399</v>
      </c>
      <c r="B51" s="37">
        <v>154.75</v>
      </c>
      <c r="C51" s="8">
        <f>58.69/B51</f>
        <v>0.37925686591276253</v>
      </c>
      <c r="F51" s="1" t="s">
        <v>110</v>
      </c>
      <c r="G51" s="1" t="s">
        <v>111</v>
      </c>
      <c r="H51" s="1" t="s">
        <v>116</v>
      </c>
      <c r="J51" s="3" t="s">
        <v>398</v>
      </c>
    </row>
    <row r="52" spans="1:12" x14ac:dyDescent="0.25">
      <c r="A52" s="22" t="s">
        <v>400</v>
      </c>
      <c r="B52">
        <v>154.99600000000001</v>
      </c>
      <c r="C52" s="8">
        <f>58.93/B52</f>
        <v>0.38020336008671191</v>
      </c>
      <c r="F52" t="s">
        <v>0</v>
      </c>
      <c r="G52" t="s">
        <v>1</v>
      </c>
      <c r="H52">
        <v>89.81</v>
      </c>
      <c r="J52" s="38" t="s">
        <v>401</v>
      </c>
      <c r="K52">
        <f>H57+H66+H72</f>
        <v>52.429999999999993</v>
      </c>
    </row>
    <row r="53" spans="1:12" x14ac:dyDescent="0.25">
      <c r="A53" s="22" t="s">
        <v>402</v>
      </c>
      <c r="B53">
        <v>151.001</v>
      </c>
      <c r="C53" s="8">
        <f>54.94/B53</f>
        <v>0.36383865007516503</v>
      </c>
      <c r="F53" t="s">
        <v>0</v>
      </c>
      <c r="G53" t="s">
        <v>3</v>
      </c>
      <c r="H53">
        <v>4.99</v>
      </c>
      <c r="J53" s="39" t="s">
        <v>397</v>
      </c>
      <c r="K53">
        <f>H66+H72</f>
        <v>40.98</v>
      </c>
      <c r="L53" s="8">
        <f>K53/K52</f>
        <v>0.78161358001144388</v>
      </c>
    </row>
    <row r="54" spans="1:12" x14ac:dyDescent="0.25">
      <c r="A54" s="22" t="s">
        <v>403</v>
      </c>
      <c r="B54">
        <v>73.891000000000005</v>
      </c>
      <c r="C54" s="8">
        <f>2*6.941/B54</f>
        <v>0.18787132397720965</v>
      </c>
      <c r="F54" t="s">
        <v>0</v>
      </c>
      <c r="G54" t="s">
        <v>2</v>
      </c>
      <c r="H54">
        <v>64.599999999999994</v>
      </c>
      <c r="J54" s="39"/>
    </row>
    <row r="55" spans="1:12" x14ac:dyDescent="0.25">
      <c r="B55">
        <f>B48*C5</f>
        <v>7.7660329503626562</v>
      </c>
      <c r="F55" t="s">
        <v>0</v>
      </c>
      <c r="G55" t="s">
        <v>4</v>
      </c>
      <c r="H55">
        <v>6.31</v>
      </c>
      <c r="J55" s="40" t="s">
        <v>404</v>
      </c>
    </row>
    <row r="56" spans="1:12" x14ac:dyDescent="0.25">
      <c r="F56" t="s">
        <v>0</v>
      </c>
      <c r="G56" t="s">
        <v>5</v>
      </c>
      <c r="H56">
        <v>20.059999999999999</v>
      </c>
      <c r="J56" s="39" t="s">
        <v>396</v>
      </c>
      <c r="K56">
        <v>45.5</v>
      </c>
    </row>
    <row r="57" spans="1:12" x14ac:dyDescent="0.25">
      <c r="F57" t="s">
        <v>0</v>
      </c>
      <c r="G57" t="s">
        <v>6</v>
      </c>
      <c r="H57">
        <v>11.45</v>
      </c>
      <c r="J57" s="39" t="s">
        <v>397</v>
      </c>
      <c r="K57">
        <f>28.7+9.3</f>
        <v>38</v>
      </c>
      <c r="L57" s="8">
        <f>K57/K56</f>
        <v>0.8351648351648352</v>
      </c>
    </row>
    <row r="58" spans="1:12" x14ac:dyDescent="0.25">
      <c r="A58" t="s">
        <v>202</v>
      </c>
      <c r="B58" s="4" t="s">
        <v>277</v>
      </c>
      <c r="C58">
        <f xml:space="preserve"> (0.8*58.693)+(0.1*58.933)+(0.1*54.938)+(2*15.999)+(2*1.008)</f>
        <v>92.355500000000006</v>
      </c>
      <c r="F58" t="s">
        <v>0</v>
      </c>
      <c r="G58" t="s">
        <v>7</v>
      </c>
      <c r="H58">
        <v>3.96</v>
      </c>
    </row>
    <row r="59" spans="1:12" x14ac:dyDescent="0.25">
      <c r="A59" s="19"/>
      <c r="B59" s="19" t="s">
        <v>57</v>
      </c>
      <c r="F59" t="s">
        <v>0</v>
      </c>
      <c r="G59" t="s">
        <v>112</v>
      </c>
      <c r="H59">
        <v>11.05</v>
      </c>
    </row>
    <row r="60" spans="1:12" x14ac:dyDescent="0.25">
      <c r="A60" s="19" t="s">
        <v>203</v>
      </c>
      <c r="B60" s="19">
        <v>0</v>
      </c>
      <c r="F60" t="s">
        <v>0</v>
      </c>
      <c r="G60" t="s">
        <v>113</v>
      </c>
      <c r="H60">
        <v>11.05</v>
      </c>
    </row>
    <row r="61" spans="1:12" x14ac:dyDescent="0.25">
      <c r="A61" s="19" t="s">
        <v>204</v>
      </c>
      <c r="B61" s="19">
        <v>0</v>
      </c>
      <c r="F61" t="s">
        <v>0</v>
      </c>
      <c r="G61" t="s">
        <v>10</v>
      </c>
      <c r="H61">
        <v>2.1800000000000002</v>
      </c>
    </row>
    <row r="62" spans="1:12" x14ac:dyDescent="0.25">
      <c r="A62" s="19" t="s">
        <v>205</v>
      </c>
      <c r="B62" s="19">
        <v>1.340421615651967</v>
      </c>
      <c r="C62">
        <f>C79*B62</f>
        <v>138.53528519523013</v>
      </c>
      <c r="F62" t="s">
        <v>0</v>
      </c>
      <c r="G62" t="s">
        <v>11</v>
      </c>
      <c r="H62">
        <v>0.48</v>
      </c>
    </row>
    <row r="63" spans="1:12" x14ac:dyDescent="0.25">
      <c r="A63" s="19" t="s">
        <v>206</v>
      </c>
      <c r="B63" s="19">
        <v>0.16781255752011201</v>
      </c>
      <c r="F63" t="s">
        <v>0</v>
      </c>
      <c r="G63" t="s">
        <v>114</v>
      </c>
      <c r="H63">
        <v>0.56000000000000005</v>
      </c>
    </row>
    <row r="64" spans="1:12" x14ac:dyDescent="0.25">
      <c r="A64" s="19" t="s">
        <v>207</v>
      </c>
      <c r="B64" s="19">
        <v>0.16349245877499799</v>
      </c>
      <c r="F64" t="s">
        <v>0</v>
      </c>
      <c r="G64" t="s">
        <v>19</v>
      </c>
      <c r="H64">
        <v>226.49</v>
      </c>
    </row>
    <row r="65" spans="1:8" x14ac:dyDescent="0.25">
      <c r="A65" s="19" t="s">
        <v>208</v>
      </c>
      <c r="B65" s="19">
        <v>0.88953599999999999</v>
      </c>
      <c r="F65" t="s">
        <v>13</v>
      </c>
      <c r="G65" t="s">
        <v>5</v>
      </c>
      <c r="H65">
        <v>0.43</v>
      </c>
    </row>
    <row r="66" spans="1:8" x14ac:dyDescent="0.25">
      <c r="A66" s="19" t="s">
        <v>209</v>
      </c>
      <c r="B66" s="19">
        <v>0.123529411764706</v>
      </c>
      <c r="F66" t="s">
        <v>13</v>
      </c>
      <c r="G66" t="s">
        <v>6</v>
      </c>
      <c r="H66">
        <v>11.42</v>
      </c>
    </row>
    <row r="67" spans="1:8" x14ac:dyDescent="0.25">
      <c r="A67" s="19" t="s">
        <v>210</v>
      </c>
      <c r="B67" s="19">
        <v>0</v>
      </c>
      <c r="F67" t="s">
        <v>13</v>
      </c>
      <c r="G67" t="s">
        <v>11</v>
      </c>
      <c r="H67">
        <v>0.13</v>
      </c>
    </row>
    <row r="68" spans="1:8" x14ac:dyDescent="0.25">
      <c r="A68" s="19" t="s">
        <v>229</v>
      </c>
      <c r="B68" s="19">
        <v>0</v>
      </c>
      <c r="F68" t="s">
        <v>13</v>
      </c>
      <c r="G68" t="s">
        <v>14</v>
      </c>
      <c r="H68">
        <v>0.11</v>
      </c>
    </row>
    <row r="69" spans="1:8" x14ac:dyDescent="0.25">
      <c r="A69" s="19" t="s">
        <v>211</v>
      </c>
      <c r="B69" s="19">
        <v>0</v>
      </c>
      <c r="F69" t="s">
        <v>13</v>
      </c>
      <c r="G69" t="s">
        <v>15</v>
      </c>
      <c r="H69">
        <v>1.1200000000000001</v>
      </c>
    </row>
    <row r="70" spans="1:8" x14ac:dyDescent="0.25">
      <c r="A70" s="19" t="s">
        <v>212</v>
      </c>
      <c r="B70" s="19">
        <v>0</v>
      </c>
      <c r="F70" t="s">
        <v>13</v>
      </c>
      <c r="G70" t="s">
        <v>20</v>
      </c>
      <c r="H70">
        <v>13.2</v>
      </c>
    </row>
    <row r="71" spans="1:8" x14ac:dyDescent="0.25">
      <c r="F71" t="s">
        <v>16</v>
      </c>
      <c r="G71" t="s">
        <v>5</v>
      </c>
      <c r="H71">
        <v>0.09</v>
      </c>
    </row>
    <row r="72" spans="1:8" x14ac:dyDescent="0.25">
      <c r="F72" t="s">
        <v>16</v>
      </c>
      <c r="G72" t="s">
        <v>6</v>
      </c>
      <c r="H72">
        <v>29.56</v>
      </c>
    </row>
    <row r="73" spans="1:8" x14ac:dyDescent="0.25">
      <c r="F73" t="s">
        <v>16</v>
      </c>
      <c r="G73" t="s">
        <v>17</v>
      </c>
      <c r="H73">
        <v>1.78</v>
      </c>
    </row>
    <row r="74" spans="1:8" x14ac:dyDescent="0.25">
      <c r="A74" t="s">
        <v>213</v>
      </c>
      <c r="F74" t="s">
        <v>16</v>
      </c>
      <c r="G74" t="s">
        <v>14</v>
      </c>
      <c r="H74">
        <v>0.94</v>
      </c>
    </row>
    <row r="75" spans="1:8" x14ac:dyDescent="0.25">
      <c r="B75" t="s">
        <v>276</v>
      </c>
      <c r="F75" t="s">
        <v>16</v>
      </c>
      <c r="G75" t="s">
        <v>18</v>
      </c>
      <c r="H75">
        <v>8.4700000000000006</v>
      </c>
    </row>
    <row r="76" spans="1:8" x14ac:dyDescent="0.25">
      <c r="A76" t="s">
        <v>214</v>
      </c>
      <c r="B76">
        <v>0</v>
      </c>
      <c r="F76" t="s">
        <v>16</v>
      </c>
      <c r="G76" t="s">
        <v>15</v>
      </c>
      <c r="H76">
        <v>4.22</v>
      </c>
    </row>
    <row r="77" spans="1:8" x14ac:dyDescent="0.25">
      <c r="A77" t="s">
        <v>215</v>
      </c>
      <c r="B77">
        <v>0</v>
      </c>
      <c r="F77" t="s">
        <v>16</v>
      </c>
      <c r="G77" t="s">
        <v>21</v>
      </c>
      <c r="H77">
        <v>45.06</v>
      </c>
    </row>
    <row r="78" spans="1:8" x14ac:dyDescent="0.25">
      <c r="A78" t="s">
        <v>216</v>
      </c>
      <c r="B78">
        <v>0</v>
      </c>
      <c r="F78" t="s">
        <v>115</v>
      </c>
      <c r="G78" t="s">
        <v>22</v>
      </c>
      <c r="H78">
        <v>284.75</v>
      </c>
    </row>
    <row r="79" spans="1:8" x14ac:dyDescent="0.25">
      <c r="A79" t="s">
        <v>217</v>
      </c>
      <c r="B79">
        <v>0.94942382220211996</v>
      </c>
      <c r="C79">
        <f>B79*C5</f>
        <v>103.35202266030903</v>
      </c>
    </row>
    <row r="80" spans="1:8" x14ac:dyDescent="0.25">
      <c r="A80" t="s">
        <v>218</v>
      </c>
      <c r="B80">
        <v>0</v>
      </c>
    </row>
    <row r="81" spans="1:3" x14ac:dyDescent="0.25">
      <c r="A81" t="s">
        <v>230</v>
      </c>
      <c r="B81">
        <v>0</v>
      </c>
    </row>
    <row r="82" spans="1:3" x14ac:dyDescent="0.25">
      <c r="A82" t="s">
        <v>208</v>
      </c>
      <c r="B82">
        <v>0</v>
      </c>
    </row>
    <row r="83" spans="1:3" x14ac:dyDescent="0.25">
      <c r="A83" t="s">
        <v>219</v>
      </c>
      <c r="B83">
        <v>0.246199076881958</v>
      </c>
    </row>
    <row r="84" spans="1:3" x14ac:dyDescent="0.25">
      <c r="A84" t="s">
        <v>220</v>
      </c>
      <c r="B84">
        <v>0</v>
      </c>
    </row>
    <row r="85" spans="1:3" x14ac:dyDescent="0.25">
      <c r="A85" t="s">
        <v>221</v>
      </c>
      <c r="B85">
        <v>0</v>
      </c>
    </row>
    <row r="86" spans="1:3" x14ac:dyDescent="0.25">
      <c r="A86" t="s">
        <v>222</v>
      </c>
      <c r="B86">
        <v>0</v>
      </c>
    </row>
    <row r="87" spans="1:3" x14ac:dyDescent="0.25">
      <c r="A87" t="s">
        <v>223</v>
      </c>
      <c r="B87">
        <v>0</v>
      </c>
    </row>
    <row r="88" spans="1:3" x14ac:dyDescent="0.25">
      <c r="A88" t="s">
        <v>224</v>
      </c>
      <c r="B88">
        <v>0</v>
      </c>
    </row>
    <row r="89" spans="1:3" x14ac:dyDescent="0.25">
      <c r="A89" t="s">
        <v>225</v>
      </c>
      <c r="B89">
        <v>0</v>
      </c>
    </row>
    <row r="90" spans="1:3" x14ac:dyDescent="0.25">
      <c r="A90" t="s">
        <v>226</v>
      </c>
      <c r="B90">
        <v>0</v>
      </c>
    </row>
    <row r="91" spans="1:3" x14ac:dyDescent="0.25">
      <c r="A91" t="s">
        <v>227</v>
      </c>
      <c r="B91">
        <v>7.0000000000000001E-3</v>
      </c>
    </row>
    <row r="92" spans="1:3" x14ac:dyDescent="0.25">
      <c r="A92" t="s">
        <v>228</v>
      </c>
      <c r="B92">
        <v>0</v>
      </c>
    </row>
    <row r="96" spans="1:3" x14ac:dyDescent="0.25">
      <c r="A96" s="19"/>
      <c r="B96" s="19"/>
      <c r="C96" s="19"/>
    </row>
    <row r="97" spans="1:3" x14ac:dyDescent="0.25">
      <c r="A97" s="25" t="s">
        <v>293</v>
      </c>
      <c r="B97" s="25" t="s">
        <v>294</v>
      </c>
      <c r="C97" s="25" t="s">
        <v>295</v>
      </c>
    </row>
    <row r="98" spans="1:3" x14ac:dyDescent="0.25">
      <c r="A98" s="26" t="s">
        <v>296</v>
      </c>
      <c r="B98" s="26">
        <f>0.8*58.693/B104</f>
        <v>0.50840935298926426</v>
      </c>
      <c r="C98" s="27">
        <v>0.50800000000000001</v>
      </c>
    </row>
    <row r="99" spans="1:3" x14ac:dyDescent="0.25">
      <c r="A99" s="26" t="s">
        <v>297</v>
      </c>
      <c r="B99" s="26">
        <f>0.1*58.933/B104</f>
        <v>6.3811034535030398E-2</v>
      </c>
      <c r="C99" s="27">
        <v>6.4000000000000001E-2</v>
      </c>
    </row>
    <row r="100" spans="1:3" x14ac:dyDescent="0.25">
      <c r="A100" s="26" t="s">
        <v>298</v>
      </c>
      <c r="B100" s="26">
        <f>0.1*54.938/B104</f>
        <v>5.9485358208227986E-2</v>
      </c>
      <c r="C100" s="27">
        <v>0.06</v>
      </c>
    </row>
    <row r="101" spans="1:3" x14ac:dyDescent="0.25">
      <c r="A101" s="26" t="s">
        <v>299</v>
      </c>
      <c r="B101" s="26">
        <f>2*15.999/B104</f>
        <v>0.34646555971219906</v>
      </c>
      <c r="C101" s="27">
        <v>0.34699999999999998</v>
      </c>
    </row>
    <row r="102" spans="1:3" x14ac:dyDescent="0.25">
      <c r="A102" s="26" t="s">
        <v>300</v>
      </c>
      <c r="B102" s="26">
        <f>2*1.008/B104</f>
        <v>2.1828694555278243E-2</v>
      </c>
      <c r="C102" s="27">
        <v>2.1999999999999999E-2</v>
      </c>
    </row>
    <row r="104" spans="1:3" x14ac:dyDescent="0.25">
      <c r="A104" s="32" t="s">
        <v>307</v>
      </c>
      <c r="B104">
        <f xml:space="preserve"> (0.8*58.693)+(0.1*58.933)+(0.1*54.938)+(2*15.999)+(2*1.008)</f>
        <v>92.355500000000006</v>
      </c>
    </row>
  </sheetData>
  <mergeCells count="1">
    <mergeCell ref="A28:B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0B3A-44A3-4BC3-BBBB-FBCA8B8406D9}">
  <dimension ref="A2:L173"/>
  <sheetViews>
    <sheetView tabSelected="1" topLeftCell="D111" zoomScale="55" zoomScaleNormal="55" workbookViewId="0">
      <selection activeCell="F148" sqref="F148"/>
    </sheetView>
  </sheetViews>
  <sheetFormatPr defaultRowHeight="15" x14ac:dyDescent="0.25"/>
  <cols>
    <col min="1" max="1" width="52" bestFit="1" customWidth="1"/>
    <col min="2" max="2" width="73.85546875" bestFit="1" customWidth="1"/>
    <col min="3" max="3" width="78.140625" bestFit="1" customWidth="1"/>
    <col min="4" max="4" width="59.85546875" customWidth="1"/>
    <col min="6" max="6" width="41.85546875" bestFit="1" customWidth="1"/>
    <col min="7" max="7" width="23" bestFit="1" customWidth="1"/>
    <col min="8" max="8" width="18" bestFit="1" customWidth="1"/>
    <col min="9" max="9" width="98.28515625" bestFit="1" customWidth="1"/>
  </cols>
  <sheetData>
    <row r="2" spans="1:12" x14ac:dyDescent="0.25">
      <c r="A2" s="43" t="s">
        <v>417</v>
      </c>
      <c r="B2" s="43" t="s">
        <v>418</v>
      </c>
      <c r="C2" s="43" t="s">
        <v>419</v>
      </c>
      <c r="D2" s="43" t="s">
        <v>420</v>
      </c>
      <c r="E2" s="43" t="s">
        <v>421</v>
      </c>
      <c r="F2" s="43" t="s">
        <v>422</v>
      </c>
      <c r="G2" s="43" t="s">
        <v>423</v>
      </c>
      <c r="H2" s="43" t="s">
        <v>424</v>
      </c>
      <c r="I2" s="43" t="s">
        <v>425</v>
      </c>
      <c r="J2" s="43" t="s">
        <v>426</v>
      </c>
      <c r="K2" s="43" t="s">
        <v>427</v>
      </c>
      <c r="L2" s="43" t="s">
        <v>428</v>
      </c>
    </row>
    <row r="3" spans="1:12" x14ac:dyDescent="0.25">
      <c r="A3" t="s">
        <v>429</v>
      </c>
      <c r="B3" t="s">
        <v>430</v>
      </c>
      <c r="C3" t="s">
        <v>431</v>
      </c>
      <c r="D3" t="s">
        <v>432</v>
      </c>
      <c r="E3" t="s">
        <v>433</v>
      </c>
      <c r="F3" t="s">
        <v>434</v>
      </c>
      <c r="G3" t="s">
        <v>435</v>
      </c>
      <c r="H3" t="s">
        <v>436</v>
      </c>
      <c r="I3" t="s">
        <v>437</v>
      </c>
      <c r="J3" s="44">
        <v>10</v>
      </c>
      <c r="K3" t="s">
        <v>438</v>
      </c>
      <c r="L3" t="s">
        <v>439</v>
      </c>
    </row>
    <row r="4" spans="1:12" x14ac:dyDescent="0.25">
      <c r="A4" t="s">
        <v>469</v>
      </c>
      <c r="B4" t="s">
        <v>470</v>
      </c>
      <c r="C4" t="s">
        <v>431</v>
      </c>
      <c r="D4" t="s">
        <v>450</v>
      </c>
      <c r="E4" t="s">
        <v>433</v>
      </c>
      <c r="F4" t="s">
        <v>444</v>
      </c>
      <c r="G4" t="s">
        <v>471</v>
      </c>
      <c r="H4" t="s">
        <v>436</v>
      </c>
      <c r="I4" t="s">
        <v>472</v>
      </c>
      <c r="J4" s="44">
        <v>110</v>
      </c>
      <c r="K4" t="s">
        <v>438</v>
      </c>
      <c r="L4" t="s">
        <v>473</v>
      </c>
    </row>
    <row r="5" spans="1:12" x14ac:dyDescent="0.25">
      <c r="A5" t="s">
        <v>440</v>
      </c>
      <c r="B5" t="s">
        <v>441</v>
      </c>
      <c r="C5" t="s">
        <v>431</v>
      </c>
      <c r="D5" t="s">
        <v>442</v>
      </c>
      <c r="E5" t="s">
        <v>443</v>
      </c>
      <c r="F5" t="s">
        <v>444</v>
      </c>
      <c r="G5" t="s">
        <v>435</v>
      </c>
      <c r="H5" t="s">
        <v>445</v>
      </c>
      <c r="I5" t="s">
        <v>446</v>
      </c>
      <c r="J5" s="44">
        <v>12</v>
      </c>
      <c r="K5" t="s">
        <v>438</v>
      </c>
      <c r="L5" t="s">
        <v>447</v>
      </c>
    </row>
    <row r="6" spans="1:12" x14ac:dyDescent="0.25">
      <c r="A6" t="s">
        <v>448</v>
      </c>
      <c r="B6" t="s">
        <v>449</v>
      </c>
      <c r="C6" t="s">
        <v>431</v>
      </c>
      <c r="D6" t="s">
        <v>450</v>
      </c>
      <c r="E6" t="s">
        <v>443</v>
      </c>
      <c r="F6" t="s">
        <v>444</v>
      </c>
      <c r="G6" t="s">
        <v>451</v>
      </c>
      <c r="H6" t="s">
        <v>445</v>
      </c>
      <c r="I6" t="s">
        <v>452</v>
      </c>
      <c r="J6" s="44">
        <v>17</v>
      </c>
      <c r="K6" t="s">
        <v>438</v>
      </c>
      <c r="L6" t="s">
        <v>453</v>
      </c>
    </row>
    <row r="7" spans="1:12" x14ac:dyDescent="0.25">
      <c r="A7" t="s">
        <v>454</v>
      </c>
      <c r="B7" t="s">
        <v>455</v>
      </c>
      <c r="C7" t="s">
        <v>431</v>
      </c>
      <c r="D7" t="s">
        <v>450</v>
      </c>
      <c r="E7" t="s">
        <v>443</v>
      </c>
      <c r="F7" t="s">
        <v>456</v>
      </c>
      <c r="G7" t="s">
        <v>435</v>
      </c>
      <c r="H7" t="s">
        <v>436</v>
      </c>
      <c r="I7" t="s">
        <v>457</v>
      </c>
      <c r="J7" s="44">
        <v>16</v>
      </c>
      <c r="K7" t="s">
        <v>438</v>
      </c>
      <c r="L7" t="s">
        <v>458</v>
      </c>
    </row>
    <row r="8" spans="1:12" x14ac:dyDescent="0.25">
      <c r="A8" t="s">
        <v>464</v>
      </c>
      <c r="B8" t="s">
        <v>465</v>
      </c>
      <c r="C8" t="s">
        <v>431</v>
      </c>
      <c r="D8" t="s">
        <v>466</v>
      </c>
      <c r="E8" t="s">
        <v>443</v>
      </c>
      <c r="F8" t="s">
        <v>444</v>
      </c>
      <c r="G8" t="s">
        <v>435</v>
      </c>
      <c r="H8" t="s">
        <v>445</v>
      </c>
      <c r="I8" t="s">
        <v>467</v>
      </c>
      <c r="J8" s="44">
        <v>16</v>
      </c>
      <c r="K8" t="s">
        <v>438</v>
      </c>
      <c r="L8" t="s">
        <v>468</v>
      </c>
    </row>
    <row r="9" spans="1:12" x14ac:dyDescent="0.25">
      <c r="A9" t="s">
        <v>474</v>
      </c>
      <c r="B9" t="s">
        <v>475</v>
      </c>
      <c r="C9" t="s">
        <v>431</v>
      </c>
      <c r="D9" t="s">
        <v>450</v>
      </c>
      <c r="E9" t="s">
        <v>443</v>
      </c>
      <c r="F9" t="s">
        <v>444</v>
      </c>
      <c r="G9" t="s">
        <v>435</v>
      </c>
      <c r="H9" t="s">
        <v>445</v>
      </c>
      <c r="I9" t="s">
        <v>476</v>
      </c>
      <c r="J9" s="44">
        <v>24</v>
      </c>
      <c r="K9" t="s">
        <v>438</v>
      </c>
      <c r="L9" t="s">
        <v>477</v>
      </c>
    </row>
    <row r="10" spans="1:12" x14ac:dyDescent="0.25">
      <c r="A10" t="s">
        <v>492</v>
      </c>
      <c r="B10" t="s">
        <v>493</v>
      </c>
      <c r="C10" t="s">
        <v>431</v>
      </c>
      <c r="D10" t="s">
        <v>450</v>
      </c>
      <c r="E10" t="s">
        <v>443</v>
      </c>
      <c r="F10" t="s">
        <v>444</v>
      </c>
      <c r="G10" t="s">
        <v>435</v>
      </c>
      <c r="H10" t="s">
        <v>445</v>
      </c>
      <c r="I10" t="s">
        <v>494</v>
      </c>
      <c r="J10" s="44">
        <v>30</v>
      </c>
      <c r="K10" t="s">
        <v>438</v>
      </c>
      <c r="L10" t="s">
        <v>495</v>
      </c>
    </row>
    <row r="11" spans="1:12" x14ac:dyDescent="0.25">
      <c r="A11" t="s">
        <v>496</v>
      </c>
      <c r="B11" t="s">
        <v>497</v>
      </c>
      <c r="C11" t="s">
        <v>431</v>
      </c>
      <c r="D11" t="s">
        <v>450</v>
      </c>
      <c r="E11" t="s">
        <v>443</v>
      </c>
      <c r="F11" t="s">
        <v>498</v>
      </c>
      <c r="G11" t="s">
        <v>451</v>
      </c>
      <c r="H11" t="s">
        <v>445</v>
      </c>
      <c r="I11" t="s">
        <v>499</v>
      </c>
      <c r="J11" s="44">
        <v>4</v>
      </c>
      <c r="K11" t="s">
        <v>438</v>
      </c>
      <c r="L11" t="s">
        <v>500</v>
      </c>
    </row>
    <row r="12" spans="1:12" x14ac:dyDescent="0.25">
      <c r="A12" t="s">
        <v>459</v>
      </c>
      <c r="B12" t="s">
        <v>460</v>
      </c>
      <c r="C12" t="s">
        <v>431</v>
      </c>
      <c r="D12" t="s">
        <v>450</v>
      </c>
      <c r="E12" t="s">
        <v>461</v>
      </c>
      <c r="F12" t="s">
        <v>444</v>
      </c>
      <c r="G12" t="s">
        <v>435</v>
      </c>
      <c r="H12" t="s">
        <v>445</v>
      </c>
      <c r="I12" t="s">
        <v>462</v>
      </c>
      <c r="J12" s="44">
        <v>10</v>
      </c>
      <c r="K12" t="s">
        <v>438</v>
      </c>
      <c r="L12" t="s">
        <v>463</v>
      </c>
    </row>
    <row r="13" spans="1:12" x14ac:dyDescent="0.25">
      <c r="A13" t="s">
        <v>483</v>
      </c>
      <c r="B13" t="s">
        <v>484</v>
      </c>
      <c r="C13" t="s">
        <v>431</v>
      </c>
      <c r="D13" t="s">
        <v>450</v>
      </c>
      <c r="E13" t="s">
        <v>461</v>
      </c>
      <c r="F13" t="s">
        <v>444</v>
      </c>
      <c r="G13" t="s">
        <v>435</v>
      </c>
      <c r="H13" t="s">
        <v>436</v>
      </c>
      <c r="I13" t="s">
        <v>485</v>
      </c>
      <c r="J13" s="44">
        <v>15</v>
      </c>
      <c r="K13" t="s">
        <v>438</v>
      </c>
      <c r="L13" t="s">
        <v>486</v>
      </c>
    </row>
    <row r="14" spans="1:12" x14ac:dyDescent="0.25">
      <c r="A14" t="s">
        <v>507</v>
      </c>
      <c r="B14" t="s">
        <v>508</v>
      </c>
      <c r="C14" t="s">
        <v>431</v>
      </c>
      <c r="D14" t="s">
        <v>450</v>
      </c>
      <c r="E14" t="s">
        <v>461</v>
      </c>
      <c r="F14" t="s">
        <v>444</v>
      </c>
      <c r="G14" t="s">
        <v>435</v>
      </c>
      <c r="H14" t="s">
        <v>445</v>
      </c>
      <c r="I14" t="s">
        <v>509</v>
      </c>
      <c r="J14" s="44">
        <v>30</v>
      </c>
      <c r="K14" t="s">
        <v>438</v>
      </c>
      <c r="L14" t="s">
        <v>510</v>
      </c>
    </row>
    <row r="15" spans="1:12" x14ac:dyDescent="0.25">
      <c r="A15" t="s">
        <v>501</v>
      </c>
      <c r="B15" t="s">
        <v>502</v>
      </c>
      <c r="C15" t="s">
        <v>431</v>
      </c>
      <c r="D15" t="s">
        <v>503</v>
      </c>
      <c r="E15" t="s">
        <v>504</v>
      </c>
      <c r="F15" t="s">
        <v>444</v>
      </c>
      <c r="G15" t="s">
        <v>451</v>
      </c>
      <c r="H15" t="s">
        <v>445</v>
      </c>
      <c r="I15" t="s">
        <v>505</v>
      </c>
      <c r="J15" s="44">
        <v>3</v>
      </c>
      <c r="K15" t="s">
        <v>438</v>
      </c>
      <c r="L15" t="s">
        <v>506</v>
      </c>
    </row>
    <row r="16" spans="1:12" x14ac:dyDescent="0.25">
      <c r="A16" t="s">
        <v>478</v>
      </c>
      <c r="B16" t="s">
        <v>479</v>
      </c>
      <c r="C16" t="s">
        <v>431</v>
      </c>
      <c r="D16" t="s">
        <v>450</v>
      </c>
      <c r="E16" t="s">
        <v>480</v>
      </c>
      <c r="F16" t="s">
        <v>444</v>
      </c>
      <c r="G16" t="s">
        <v>435</v>
      </c>
      <c r="H16" t="s">
        <v>436</v>
      </c>
      <c r="I16" t="s">
        <v>481</v>
      </c>
      <c r="J16" s="44">
        <v>62</v>
      </c>
      <c r="K16" t="s">
        <v>438</v>
      </c>
      <c r="L16" t="s">
        <v>482</v>
      </c>
    </row>
    <row r="17" spans="1:12" x14ac:dyDescent="0.25">
      <c r="A17" t="s">
        <v>487</v>
      </c>
      <c r="B17" t="s">
        <v>488</v>
      </c>
      <c r="C17" t="s">
        <v>431</v>
      </c>
      <c r="D17" t="s">
        <v>489</v>
      </c>
      <c r="E17" t="s">
        <v>480</v>
      </c>
      <c r="F17" t="s">
        <v>444</v>
      </c>
      <c r="G17" t="s">
        <v>435</v>
      </c>
      <c r="H17" t="s">
        <v>436</v>
      </c>
      <c r="I17" t="s">
        <v>490</v>
      </c>
      <c r="J17" s="45">
        <v>1000</v>
      </c>
      <c r="K17" t="s">
        <v>438</v>
      </c>
      <c r="L17" t="s">
        <v>491</v>
      </c>
    </row>
    <row r="19" spans="1:12" x14ac:dyDescent="0.25">
      <c r="A19" t="s">
        <v>469</v>
      </c>
      <c r="B19" t="s">
        <v>470</v>
      </c>
      <c r="C19" t="s">
        <v>511</v>
      </c>
      <c r="D19" t="s">
        <v>512</v>
      </c>
      <c r="E19" t="s">
        <v>513</v>
      </c>
      <c r="F19" t="s">
        <v>514</v>
      </c>
      <c r="G19" t="s">
        <v>435</v>
      </c>
      <c r="H19" t="s">
        <v>436</v>
      </c>
      <c r="I19" t="s">
        <v>515</v>
      </c>
      <c r="J19" s="44">
        <v>6</v>
      </c>
      <c r="K19" t="s">
        <v>438</v>
      </c>
      <c r="L19" t="s">
        <v>473</v>
      </c>
    </row>
    <row r="20" spans="1:12" x14ac:dyDescent="0.25">
      <c r="A20" t="s">
        <v>526</v>
      </c>
      <c r="B20" t="s">
        <v>527</v>
      </c>
      <c r="C20" t="s">
        <v>511</v>
      </c>
      <c r="D20" t="s">
        <v>528</v>
      </c>
      <c r="E20" t="s">
        <v>529</v>
      </c>
      <c r="F20" t="s">
        <v>530</v>
      </c>
      <c r="G20" t="s">
        <v>531</v>
      </c>
      <c r="H20" t="s">
        <v>436</v>
      </c>
      <c r="I20" t="s">
        <v>532</v>
      </c>
      <c r="J20">
        <v>53</v>
      </c>
      <c r="K20" t="s">
        <v>438</v>
      </c>
      <c r="L20" t="s">
        <v>533</v>
      </c>
    </row>
    <row r="21" spans="1:12" s="46" customFormat="1" ht="14.25" customHeight="1" x14ac:dyDescent="0.25">
      <c r="A21" s="46" t="s">
        <v>526</v>
      </c>
      <c r="B21" s="46" t="s">
        <v>527</v>
      </c>
      <c r="C21" s="46" t="s">
        <v>511</v>
      </c>
      <c r="D21" s="46" t="s">
        <v>528</v>
      </c>
      <c r="E21" s="46" t="s">
        <v>529</v>
      </c>
      <c r="F21" s="46" t="s">
        <v>534</v>
      </c>
      <c r="G21" s="46" t="s">
        <v>451</v>
      </c>
      <c r="H21" s="46" t="s">
        <v>436</v>
      </c>
      <c r="I21" s="46" t="s">
        <v>535</v>
      </c>
      <c r="J21" s="47">
        <v>40</v>
      </c>
      <c r="K21" s="46" t="s">
        <v>438</v>
      </c>
      <c r="L21" s="46" t="s">
        <v>536</v>
      </c>
    </row>
    <row r="22" spans="1:12" s="46" customFormat="1" x14ac:dyDescent="0.25">
      <c r="A22" s="46" t="s">
        <v>543</v>
      </c>
      <c r="B22" s="46" t="s">
        <v>544</v>
      </c>
      <c r="C22" s="46" t="s">
        <v>511</v>
      </c>
      <c r="D22" s="46" t="s">
        <v>528</v>
      </c>
      <c r="E22" s="46" t="s">
        <v>545</v>
      </c>
      <c r="F22" s="46" t="s">
        <v>546</v>
      </c>
      <c r="G22" s="46" t="s">
        <v>435</v>
      </c>
      <c r="H22" s="46" t="s">
        <v>445</v>
      </c>
      <c r="I22" s="46" t="s">
        <v>547</v>
      </c>
      <c r="J22" s="47">
        <v>27</v>
      </c>
      <c r="K22" s="46" t="s">
        <v>438</v>
      </c>
      <c r="L22" s="46" t="s">
        <v>548</v>
      </c>
    </row>
    <row r="23" spans="1:12" x14ac:dyDescent="0.25">
      <c r="A23" t="s">
        <v>516</v>
      </c>
      <c r="B23" t="s">
        <v>517</v>
      </c>
      <c r="C23" t="s">
        <v>511</v>
      </c>
      <c r="D23" t="s">
        <v>518</v>
      </c>
      <c r="E23" t="s">
        <v>519</v>
      </c>
      <c r="F23" t="s">
        <v>520</v>
      </c>
      <c r="G23" t="s">
        <v>451</v>
      </c>
      <c r="H23" t="s">
        <v>436</v>
      </c>
      <c r="I23" t="s">
        <v>521</v>
      </c>
      <c r="J23" s="44">
        <v>40</v>
      </c>
      <c r="K23" t="s">
        <v>438</v>
      </c>
      <c r="L23" t="s">
        <v>522</v>
      </c>
    </row>
    <row r="24" spans="1:12" x14ac:dyDescent="0.25">
      <c r="A24" t="s">
        <v>537</v>
      </c>
      <c r="B24" t="s">
        <v>538</v>
      </c>
      <c r="C24" t="s">
        <v>511</v>
      </c>
      <c r="D24" t="s">
        <v>528</v>
      </c>
      <c r="E24" t="s">
        <v>539</v>
      </c>
      <c r="F24" t="s">
        <v>540</v>
      </c>
      <c r="G24" t="s">
        <v>435</v>
      </c>
      <c r="H24" t="s">
        <v>436</v>
      </c>
      <c r="I24" t="s">
        <v>541</v>
      </c>
      <c r="J24" s="44">
        <v>71</v>
      </c>
      <c r="K24" t="s">
        <v>438</v>
      </c>
      <c r="L24" t="s">
        <v>542</v>
      </c>
    </row>
    <row r="25" spans="1:12" x14ac:dyDescent="0.25">
      <c r="A25" t="s">
        <v>469</v>
      </c>
      <c r="B25" t="s">
        <v>470</v>
      </c>
      <c r="C25" t="s">
        <v>511</v>
      </c>
      <c r="D25" t="s">
        <v>523</v>
      </c>
      <c r="E25" t="s">
        <v>524</v>
      </c>
      <c r="F25" t="s">
        <v>444</v>
      </c>
      <c r="G25" t="s">
        <v>471</v>
      </c>
      <c r="H25" t="s">
        <v>436</v>
      </c>
      <c r="I25" t="s">
        <v>525</v>
      </c>
      <c r="J25" s="44">
        <v>53</v>
      </c>
      <c r="K25" t="s">
        <v>438</v>
      </c>
      <c r="L25" t="s">
        <v>473</v>
      </c>
    </row>
    <row r="27" spans="1:12" x14ac:dyDescent="0.25">
      <c r="A27" t="s">
        <v>469</v>
      </c>
      <c r="B27" t="s">
        <v>470</v>
      </c>
      <c r="C27" t="s">
        <v>583</v>
      </c>
      <c r="D27" t="s">
        <v>442</v>
      </c>
      <c r="E27" t="s">
        <v>433</v>
      </c>
      <c r="F27" t="s">
        <v>444</v>
      </c>
      <c r="G27" t="s">
        <v>435</v>
      </c>
      <c r="H27" t="s">
        <v>436</v>
      </c>
      <c r="I27" t="s">
        <v>612</v>
      </c>
      <c r="J27" s="44">
        <v>73</v>
      </c>
      <c r="K27" t="s">
        <v>438</v>
      </c>
      <c r="L27" t="s">
        <v>473</v>
      </c>
    </row>
    <row r="28" spans="1:12" x14ac:dyDescent="0.25">
      <c r="A28" t="s">
        <v>588</v>
      </c>
      <c r="B28" t="s">
        <v>589</v>
      </c>
      <c r="C28" t="s">
        <v>583</v>
      </c>
      <c r="D28" t="s">
        <v>442</v>
      </c>
      <c r="E28" t="s">
        <v>443</v>
      </c>
      <c r="F28" t="s">
        <v>444</v>
      </c>
      <c r="G28" t="s">
        <v>451</v>
      </c>
      <c r="H28" t="s">
        <v>445</v>
      </c>
      <c r="I28" t="s">
        <v>590</v>
      </c>
      <c r="J28" s="44">
        <v>23</v>
      </c>
      <c r="K28" t="s">
        <v>438</v>
      </c>
      <c r="L28" t="s">
        <v>591</v>
      </c>
    </row>
    <row r="29" spans="1:12" x14ac:dyDescent="0.25">
      <c r="A29" t="s">
        <v>469</v>
      </c>
      <c r="B29" t="s">
        <v>470</v>
      </c>
      <c r="C29" t="s">
        <v>583</v>
      </c>
      <c r="D29" t="s">
        <v>442</v>
      </c>
      <c r="E29" t="s">
        <v>443</v>
      </c>
      <c r="F29" t="s">
        <v>444</v>
      </c>
      <c r="G29" t="s">
        <v>435</v>
      </c>
      <c r="H29" t="s">
        <v>436</v>
      </c>
      <c r="I29" t="s">
        <v>620</v>
      </c>
      <c r="J29" s="44">
        <v>33</v>
      </c>
      <c r="K29" t="s">
        <v>438</v>
      </c>
      <c r="L29" t="s">
        <v>473</v>
      </c>
    </row>
    <row r="30" spans="1:12" s="46" customFormat="1" x14ac:dyDescent="0.25">
      <c r="A30" s="46" t="s">
        <v>581</v>
      </c>
      <c r="B30" s="46" t="s">
        <v>582</v>
      </c>
      <c r="C30" s="46" t="s">
        <v>583</v>
      </c>
      <c r="D30" s="46" t="s">
        <v>442</v>
      </c>
      <c r="E30" s="46" t="s">
        <v>584</v>
      </c>
      <c r="F30" s="46" t="s">
        <v>585</v>
      </c>
      <c r="G30" s="46" t="s">
        <v>435</v>
      </c>
      <c r="H30" s="46" t="s">
        <v>445</v>
      </c>
      <c r="I30" s="46" t="s">
        <v>586</v>
      </c>
      <c r="J30" s="47">
        <v>46</v>
      </c>
      <c r="K30" s="46" t="s">
        <v>438</v>
      </c>
      <c r="L30" s="46" t="s">
        <v>587</v>
      </c>
    </row>
    <row r="31" spans="1:12" x14ac:dyDescent="0.25">
      <c r="A31" t="s">
        <v>596</v>
      </c>
      <c r="B31" t="s">
        <v>597</v>
      </c>
      <c r="C31" t="s">
        <v>583</v>
      </c>
      <c r="D31" t="s">
        <v>598</v>
      </c>
      <c r="E31" t="s">
        <v>584</v>
      </c>
      <c r="F31" t="s">
        <v>444</v>
      </c>
      <c r="G31" t="s">
        <v>435</v>
      </c>
      <c r="H31" t="s">
        <v>445</v>
      </c>
      <c r="I31" t="s">
        <v>621</v>
      </c>
      <c r="J31" s="44">
        <v>4</v>
      </c>
      <c r="K31" t="s">
        <v>438</v>
      </c>
      <c r="L31" t="s">
        <v>601</v>
      </c>
    </row>
    <row r="32" spans="1:12" x14ac:dyDescent="0.25">
      <c r="A32" t="s">
        <v>622</v>
      </c>
      <c r="B32" t="s">
        <v>623</v>
      </c>
      <c r="C32" t="s">
        <v>624</v>
      </c>
      <c r="D32" t="s">
        <v>625</v>
      </c>
      <c r="E32" t="s">
        <v>584</v>
      </c>
      <c r="F32" t="s">
        <v>444</v>
      </c>
      <c r="G32" t="s">
        <v>451</v>
      </c>
      <c r="H32" t="s">
        <v>436</v>
      </c>
      <c r="I32" t="s">
        <v>626</v>
      </c>
      <c r="J32" s="44">
        <v>8</v>
      </c>
      <c r="K32" t="s">
        <v>438</v>
      </c>
      <c r="L32" t="s">
        <v>627</v>
      </c>
    </row>
    <row r="33" spans="1:12" s="46" customFormat="1" x14ac:dyDescent="0.25">
      <c r="A33" s="46" t="s">
        <v>573</v>
      </c>
      <c r="B33" s="46" t="s">
        <v>574</v>
      </c>
      <c r="C33" s="46" t="s">
        <v>551</v>
      </c>
      <c r="D33" s="46" t="s">
        <v>556</v>
      </c>
      <c r="E33" s="46" t="s">
        <v>575</v>
      </c>
      <c r="F33" s="46" t="s">
        <v>576</v>
      </c>
      <c r="G33" s="46" t="s">
        <v>435</v>
      </c>
      <c r="H33" s="46" t="s">
        <v>436</v>
      </c>
      <c r="I33" s="46" t="s">
        <v>577</v>
      </c>
      <c r="J33" s="47">
        <v>20</v>
      </c>
      <c r="K33" s="46" t="s">
        <v>438</v>
      </c>
      <c r="L33" s="46" t="s">
        <v>578</v>
      </c>
    </row>
    <row r="34" spans="1:12" x14ac:dyDescent="0.25">
      <c r="A34" t="s">
        <v>603</v>
      </c>
      <c r="B34" t="s">
        <v>604</v>
      </c>
      <c r="C34" t="s">
        <v>583</v>
      </c>
      <c r="D34" t="s">
        <v>556</v>
      </c>
      <c r="E34" t="s">
        <v>605</v>
      </c>
      <c r="F34" t="s">
        <v>444</v>
      </c>
      <c r="G34" t="s">
        <v>435</v>
      </c>
      <c r="H34" t="s">
        <v>436</v>
      </c>
      <c r="I34" t="s">
        <v>606</v>
      </c>
      <c r="J34" s="44">
        <v>350</v>
      </c>
      <c r="K34" t="s">
        <v>438</v>
      </c>
      <c r="L34" t="s">
        <v>607</v>
      </c>
    </row>
    <row r="35" spans="1:12" x14ac:dyDescent="0.25">
      <c r="A35" t="s">
        <v>483</v>
      </c>
      <c r="B35" t="s">
        <v>484</v>
      </c>
      <c r="C35" t="s">
        <v>583</v>
      </c>
      <c r="D35" t="s">
        <v>442</v>
      </c>
      <c r="E35" t="s">
        <v>461</v>
      </c>
      <c r="F35" t="s">
        <v>444</v>
      </c>
      <c r="G35" t="s">
        <v>435</v>
      </c>
      <c r="H35" t="s">
        <v>436</v>
      </c>
      <c r="I35" t="s">
        <v>485</v>
      </c>
      <c r="J35" s="44">
        <v>15</v>
      </c>
      <c r="K35" t="s">
        <v>438</v>
      </c>
      <c r="L35" t="s">
        <v>486</v>
      </c>
    </row>
    <row r="36" spans="1:12" s="46" customFormat="1" x14ac:dyDescent="0.25">
      <c r="A36" s="46" t="s">
        <v>469</v>
      </c>
      <c r="B36" s="46" t="s">
        <v>470</v>
      </c>
      <c r="C36" s="46" t="s">
        <v>583</v>
      </c>
      <c r="D36" s="46" t="s">
        <v>556</v>
      </c>
      <c r="E36" s="46" t="s">
        <v>461</v>
      </c>
      <c r="F36" s="46" t="s">
        <v>618</v>
      </c>
      <c r="G36" s="46" t="s">
        <v>435</v>
      </c>
      <c r="H36" s="46" t="s">
        <v>436</v>
      </c>
      <c r="I36" s="46" t="s">
        <v>619</v>
      </c>
      <c r="J36" s="47">
        <v>80</v>
      </c>
      <c r="K36" s="46" t="s">
        <v>438</v>
      </c>
      <c r="L36" s="46" t="s">
        <v>473</v>
      </c>
    </row>
    <row r="37" spans="1:12" x14ac:dyDescent="0.25">
      <c r="A37" t="s">
        <v>469</v>
      </c>
      <c r="B37" t="s">
        <v>470</v>
      </c>
      <c r="C37" t="s">
        <v>551</v>
      </c>
      <c r="D37" t="s">
        <v>556</v>
      </c>
      <c r="E37" t="s">
        <v>571</v>
      </c>
      <c r="F37" t="s">
        <v>444</v>
      </c>
      <c r="G37" t="s">
        <v>435</v>
      </c>
      <c r="H37" t="s">
        <v>436</v>
      </c>
      <c r="I37" t="s">
        <v>572</v>
      </c>
      <c r="J37" s="44">
        <v>113</v>
      </c>
      <c r="K37" t="s">
        <v>438</v>
      </c>
      <c r="L37" t="s">
        <v>473</v>
      </c>
    </row>
    <row r="38" spans="1:12" x14ac:dyDescent="0.25">
      <c r="A38" t="s">
        <v>549</v>
      </c>
      <c r="B38" t="s">
        <v>550</v>
      </c>
      <c r="C38" t="s">
        <v>551</v>
      </c>
      <c r="D38" t="s">
        <v>442</v>
      </c>
      <c r="E38" t="s">
        <v>504</v>
      </c>
      <c r="F38" t="s">
        <v>444</v>
      </c>
      <c r="G38" t="s">
        <v>435</v>
      </c>
      <c r="H38" t="s">
        <v>436</v>
      </c>
      <c r="I38" t="s">
        <v>552</v>
      </c>
      <c r="J38" s="44">
        <v>1</v>
      </c>
      <c r="K38" t="s">
        <v>438</v>
      </c>
      <c r="L38" t="s">
        <v>553</v>
      </c>
    </row>
    <row r="39" spans="1:12" x14ac:dyDescent="0.25">
      <c r="A39" t="s">
        <v>628</v>
      </c>
      <c r="B39" t="s">
        <v>629</v>
      </c>
      <c r="C39" t="s">
        <v>630</v>
      </c>
      <c r="D39" t="s">
        <v>631</v>
      </c>
      <c r="E39" t="s">
        <v>504</v>
      </c>
      <c r="F39" t="s">
        <v>444</v>
      </c>
      <c r="G39" t="s">
        <v>435</v>
      </c>
      <c r="H39" t="s">
        <v>445</v>
      </c>
      <c r="I39" t="s">
        <v>632</v>
      </c>
      <c r="J39" s="44">
        <v>2</v>
      </c>
      <c r="K39" t="s">
        <v>438</v>
      </c>
      <c r="L39" t="s">
        <v>633</v>
      </c>
    </row>
    <row r="40" spans="1:12" x14ac:dyDescent="0.25">
      <c r="A40" t="s">
        <v>469</v>
      </c>
      <c r="B40" t="s">
        <v>470</v>
      </c>
      <c r="C40" t="s">
        <v>583</v>
      </c>
      <c r="D40" t="s">
        <v>442</v>
      </c>
      <c r="E40" t="s">
        <v>545</v>
      </c>
      <c r="F40" t="s">
        <v>444</v>
      </c>
      <c r="G40" t="s">
        <v>435</v>
      </c>
      <c r="H40" t="s">
        <v>436</v>
      </c>
      <c r="I40" t="s">
        <v>602</v>
      </c>
      <c r="J40" s="44">
        <v>70</v>
      </c>
      <c r="K40" t="s">
        <v>438</v>
      </c>
      <c r="L40" t="s">
        <v>473</v>
      </c>
    </row>
    <row r="41" spans="1:12" x14ac:dyDescent="0.25">
      <c r="A41" t="s">
        <v>573</v>
      </c>
      <c r="B41" t="s">
        <v>574</v>
      </c>
      <c r="C41" t="s">
        <v>551</v>
      </c>
      <c r="D41" t="s">
        <v>556</v>
      </c>
      <c r="E41" t="s">
        <v>519</v>
      </c>
      <c r="F41" t="s">
        <v>444</v>
      </c>
      <c r="G41" t="s">
        <v>435</v>
      </c>
      <c r="H41" t="s">
        <v>436</v>
      </c>
      <c r="I41" t="s">
        <v>579</v>
      </c>
      <c r="J41" s="44">
        <v>10</v>
      </c>
      <c r="K41" t="s">
        <v>438</v>
      </c>
      <c r="L41" t="s">
        <v>580</v>
      </c>
    </row>
    <row r="42" spans="1:12" x14ac:dyDescent="0.25">
      <c r="A42" t="s">
        <v>565</v>
      </c>
      <c r="B42" t="s">
        <v>566</v>
      </c>
      <c r="C42" t="s">
        <v>551</v>
      </c>
      <c r="D42" t="s">
        <v>567</v>
      </c>
      <c r="E42" t="s">
        <v>568</v>
      </c>
      <c r="F42" t="s">
        <v>444</v>
      </c>
      <c r="G42" t="s">
        <v>435</v>
      </c>
      <c r="H42" t="s">
        <v>445</v>
      </c>
      <c r="I42" t="s">
        <v>569</v>
      </c>
      <c r="J42" s="44">
        <v>20</v>
      </c>
      <c r="K42" t="s">
        <v>438</v>
      </c>
      <c r="L42" t="s">
        <v>570</v>
      </c>
    </row>
    <row r="43" spans="1:12" x14ac:dyDescent="0.25">
      <c r="A43" t="s">
        <v>560</v>
      </c>
      <c r="B43" t="s">
        <v>561</v>
      </c>
      <c r="C43" t="s">
        <v>551</v>
      </c>
      <c r="D43" t="s">
        <v>556</v>
      </c>
      <c r="E43" t="s">
        <v>562</v>
      </c>
      <c r="F43" t="s">
        <v>444</v>
      </c>
      <c r="G43" t="s">
        <v>435</v>
      </c>
      <c r="H43" t="s">
        <v>445</v>
      </c>
      <c r="I43" t="s">
        <v>563</v>
      </c>
      <c r="J43" s="44">
        <v>5</v>
      </c>
      <c r="K43" t="s">
        <v>438</v>
      </c>
      <c r="L43" t="s">
        <v>564</v>
      </c>
    </row>
    <row r="44" spans="1:12" x14ac:dyDescent="0.25">
      <c r="A44" t="s">
        <v>554</v>
      </c>
      <c r="B44" t="s">
        <v>555</v>
      </c>
      <c r="C44" t="s">
        <v>551</v>
      </c>
      <c r="D44" t="s">
        <v>556</v>
      </c>
      <c r="E44" t="s">
        <v>557</v>
      </c>
      <c r="F44" t="s">
        <v>444</v>
      </c>
      <c r="G44" t="s">
        <v>435</v>
      </c>
      <c r="H44" t="s">
        <v>445</v>
      </c>
      <c r="I44" t="s">
        <v>558</v>
      </c>
      <c r="K44" t="s">
        <v>438</v>
      </c>
      <c r="L44" t="s">
        <v>559</v>
      </c>
    </row>
    <row r="45" spans="1:12" x14ac:dyDescent="0.25">
      <c r="A45" t="s">
        <v>592</v>
      </c>
      <c r="B45" t="s">
        <v>593</v>
      </c>
      <c r="C45" t="s">
        <v>583</v>
      </c>
      <c r="D45" t="s">
        <v>442</v>
      </c>
      <c r="E45" t="s">
        <v>557</v>
      </c>
      <c r="F45" t="s">
        <v>444</v>
      </c>
      <c r="G45" t="s">
        <v>435</v>
      </c>
      <c r="H45" t="s">
        <v>436</v>
      </c>
      <c r="I45" t="s">
        <v>594</v>
      </c>
      <c r="J45" s="44">
        <v>12</v>
      </c>
      <c r="K45" t="s">
        <v>438</v>
      </c>
      <c r="L45" t="s">
        <v>595</v>
      </c>
    </row>
    <row r="46" spans="1:12" x14ac:dyDescent="0.25">
      <c r="A46" t="s">
        <v>608</v>
      </c>
      <c r="B46" t="s">
        <v>609</v>
      </c>
      <c r="C46" t="s">
        <v>583</v>
      </c>
      <c r="D46" t="s">
        <v>442</v>
      </c>
      <c r="E46" t="s">
        <v>557</v>
      </c>
      <c r="F46" t="s">
        <v>444</v>
      </c>
      <c r="G46" t="s">
        <v>435</v>
      </c>
      <c r="H46" t="s">
        <v>445</v>
      </c>
      <c r="I46" t="s">
        <v>610</v>
      </c>
      <c r="J46" s="44">
        <v>13</v>
      </c>
      <c r="K46" t="s">
        <v>438</v>
      </c>
      <c r="L46" t="s">
        <v>611</v>
      </c>
    </row>
    <row r="47" spans="1:12" x14ac:dyDescent="0.25">
      <c r="A47" t="s">
        <v>596</v>
      </c>
      <c r="B47" t="s">
        <v>597</v>
      </c>
      <c r="C47" t="s">
        <v>583</v>
      </c>
      <c r="D47" t="s">
        <v>598</v>
      </c>
      <c r="E47" t="s">
        <v>599</v>
      </c>
      <c r="F47" t="s">
        <v>444</v>
      </c>
      <c r="G47" t="s">
        <v>435</v>
      </c>
      <c r="H47" t="s">
        <v>445</v>
      </c>
      <c r="I47" t="s">
        <v>600</v>
      </c>
      <c r="J47" s="44">
        <v>25</v>
      </c>
      <c r="K47" t="s">
        <v>438</v>
      </c>
      <c r="L47" t="s">
        <v>601</v>
      </c>
    </row>
    <row r="48" spans="1:12" x14ac:dyDescent="0.25">
      <c r="A48" t="s">
        <v>613</v>
      </c>
      <c r="B48" t="s">
        <v>614</v>
      </c>
      <c r="C48" t="s">
        <v>583</v>
      </c>
      <c r="D48" t="s">
        <v>556</v>
      </c>
      <c r="E48" t="s">
        <v>615</v>
      </c>
      <c r="F48" t="s">
        <v>444</v>
      </c>
      <c r="G48" t="s">
        <v>435</v>
      </c>
      <c r="H48" t="s">
        <v>445</v>
      </c>
      <c r="I48" t="s">
        <v>616</v>
      </c>
      <c r="J48" s="44">
        <v>25</v>
      </c>
      <c r="K48" t="s">
        <v>438</v>
      </c>
      <c r="L48" t="s">
        <v>617</v>
      </c>
    </row>
    <row r="50" spans="1:12" x14ac:dyDescent="0.25">
      <c r="A50" t="s">
        <v>634</v>
      </c>
      <c r="B50" t="s">
        <v>635</v>
      </c>
      <c r="C50" t="s">
        <v>636</v>
      </c>
      <c r="D50" t="s">
        <v>637</v>
      </c>
      <c r="E50" t="s">
        <v>443</v>
      </c>
      <c r="F50" t="s">
        <v>444</v>
      </c>
      <c r="G50" t="s">
        <v>451</v>
      </c>
      <c r="H50" t="s">
        <v>445</v>
      </c>
      <c r="I50" t="s">
        <v>638</v>
      </c>
      <c r="J50" s="44">
        <v>8</v>
      </c>
      <c r="K50" t="s">
        <v>639</v>
      </c>
      <c r="L50" t="s">
        <v>640</v>
      </c>
    </row>
    <row r="51" spans="1:12" x14ac:dyDescent="0.25">
      <c r="A51" t="s">
        <v>641</v>
      </c>
      <c r="B51" t="s">
        <v>642</v>
      </c>
      <c r="C51" t="s">
        <v>341</v>
      </c>
      <c r="D51" t="s">
        <v>512</v>
      </c>
      <c r="E51" t="s">
        <v>571</v>
      </c>
      <c r="F51" t="s">
        <v>643</v>
      </c>
      <c r="G51" t="s">
        <v>451</v>
      </c>
      <c r="H51" t="s">
        <v>436</v>
      </c>
      <c r="I51" t="s">
        <v>644</v>
      </c>
      <c r="J51" s="44">
        <v>13</v>
      </c>
      <c r="K51" t="s">
        <v>438</v>
      </c>
      <c r="L51" t="s">
        <v>645</v>
      </c>
    </row>
    <row r="52" spans="1:12" x14ac:dyDescent="0.25">
      <c r="A52" t="s">
        <v>646</v>
      </c>
      <c r="B52" t="s">
        <v>647</v>
      </c>
      <c r="C52" t="s">
        <v>341</v>
      </c>
      <c r="D52" t="s">
        <v>648</v>
      </c>
      <c r="E52" t="s">
        <v>443</v>
      </c>
      <c r="F52" t="s">
        <v>444</v>
      </c>
      <c r="G52" t="s">
        <v>451</v>
      </c>
      <c r="H52" t="s">
        <v>436</v>
      </c>
      <c r="I52" t="s">
        <v>649</v>
      </c>
      <c r="J52" s="44">
        <v>5</v>
      </c>
      <c r="K52" t="s">
        <v>438</v>
      </c>
      <c r="L52" t="s">
        <v>650</v>
      </c>
    </row>
    <row r="53" spans="1:12" x14ac:dyDescent="0.25">
      <c r="A53" t="s">
        <v>651</v>
      </c>
      <c r="B53" t="s">
        <v>642</v>
      </c>
      <c r="C53" t="s">
        <v>341</v>
      </c>
      <c r="D53" t="s">
        <v>648</v>
      </c>
      <c r="E53" t="s">
        <v>545</v>
      </c>
      <c r="F53" t="s">
        <v>444</v>
      </c>
      <c r="G53" t="s">
        <v>471</v>
      </c>
      <c r="H53" t="s">
        <v>436</v>
      </c>
      <c r="I53" t="s">
        <v>652</v>
      </c>
      <c r="J53" s="44">
        <v>30</v>
      </c>
      <c r="K53" t="s">
        <v>438</v>
      </c>
    </row>
    <row r="54" spans="1:12" x14ac:dyDescent="0.25">
      <c r="A54" t="s">
        <v>641</v>
      </c>
      <c r="B54" t="s">
        <v>642</v>
      </c>
      <c r="C54" t="s">
        <v>341</v>
      </c>
      <c r="D54" t="s">
        <v>512</v>
      </c>
      <c r="E54" t="s">
        <v>571</v>
      </c>
      <c r="F54" t="s">
        <v>530</v>
      </c>
      <c r="G54" t="s">
        <v>531</v>
      </c>
      <c r="H54" t="s">
        <v>436</v>
      </c>
      <c r="I54" t="s">
        <v>653</v>
      </c>
      <c r="K54" t="s">
        <v>438</v>
      </c>
      <c r="L54" t="s">
        <v>645</v>
      </c>
    </row>
    <row r="56" spans="1:12" s="46" customFormat="1" x14ac:dyDescent="0.25">
      <c r="A56" s="46" t="s">
        <v>719</v>
      </c>
      <c r="B56" s="46" t="s">
        <v>720</v>
      </c>
      <c r="C56" s="46" t="s">
        <v>664</v>
      </c>
      <c r="D56" s="46" t="s">
        <v>512</v>
      </c>
      <c r="E56" s="46" t="s">
        <v>513</v>
      </c>
      <c r="F56" s="46" t="s">
        <v>721</v>
      </c>
      <c r="G56" s="46" t="s">
        <v>451</v>
      </c>
      <c r="H56" s="46" t="s">
        <v>436</v>
      </c>
      <c r="I56" s="46" t="s">
        <v>722</v>
      </c>
      <c r="J56" s="47">
        <v>13</v>
      </c>
      <c r="K56" s="46" t="s">
        <v>438</v>
      </c>
      <c r="L56" s="46" t="s">
        <v>723</v>
      </c>
    </row>
    <row r="57" spans="1:12" s="48" customFormat="1" x14ac:dyDescent="0.25">
      <c r="A57" s="48" t="s">
        <v>674</v>
      </c>
      <c r="B57" s="48" t="s">
        <v>675</v>
      </c>
      <c r="C57" s="48" t="s">
        <v>664</v>
      </c>
      <c r="D57" s="48" t="s">
        <v>682</v>
      </c>
      <c r="E57" s="48" t="s">
        <v>575</v>
      </c>
      <c r="F57" s="48" t="s">
        <v>683</v>
      </c>
      <c r="G57" s="48" t="s">
        <v>435</v>
      </c>
      <c r="H57" s="48" t="s">
        <v>436</v>
      </c>
      <c r="I57" s="48" t="s">
        <v>684</v>
      </c>
      <c r="J57" s="49">
        <v>200</v>
      </c>
      <c r="K57" s="48" t="s">
        <v>438</v>
      </c>
      <c r="L57" s="48" t="s">
        <v>681</v>
      </c>
    </row>
    <row r="58" spans="1:12" x14ac:dyDescent="0.25">
      <c r="A58" t="s">
        <v>685</v>
      </c>
      <c r="B58" t="s">
        <v>686</v>
      </c>
      <c r="C58" t="s">
        <v>664</v>
      </c>
      <c r="D58" t="s">
        <v>528</v>
      </c>
      <c r="E58" t="s">
        <v>575</v>
      </c>
      <c r="F58" t="s">
        <v>444</v>
      </c>
      <c r="G58" t="s">
        <v>471</v>
      </c>
      <c r="H58" t="s">
        <v>445</v>
      </c>
      <c r="I58" t="s">
        <v>687</v>
      </c>
      <c r="J58" s="44">
        <v>104</v>
      </c>
      <c r="K58" t="s">
        <v>438</v>
      </c>
      <c r="L58" t="s">
        <v>688</v>
      </c>
    </row>
    <row r="59" spans="1:12" x14ac:dyDescent="0.25">
      <c r="A59" t="s">
        <v>674</v>
      </c>
      <c r="B59" t="s">
        <v>675</v>
      </c>
      <c r="C59" t="s">
        <v>664</v>
      </c>
      <c r="D59" t="s">
        <v>676</v>
      </c>
      <c r="E59" t="s">
        <v>605</v>
      </c>
      <c r="F59" t="s">
        <v>444</v>
      </c>
      <c r="G59" t="s">
        <v>471</v>
      </c>
      <c r="H59" t="s">
        <v>436</v>
      </c>
      <c r="I59" t="s">
        <v>677</v>
      </c>
      <c r="K59" t="s">
        <v>438</v>
      </c>
    </row>
    <row r="60" spans="1:12" x14ac:dyDescent="0.25">
      <c r="A60" t="s">
        <v>674</v>
      </c>
      <c r="B60" t="s">
        <v>675</v>
      </c>
      <c r="C60" t="s">
        <v>664</v>
      </c>
      <c r="D60" t="s">
        <v>729</v>
      </c>
      <c r="E60" t="s">
        <v>605</v>
      </c>
      <c r="F60" t="s">
        <v>444</v>
      </c>
      <c r="G60" t="s">
        <v>531</v>
      </c>
      <c r="H60" t="s">
        <v>436</v>
      </c>
      <c r="I60" t="s">
        <v>730</v>
      </c>
      <c r="J60" s="44">
        <v>270</v>
      </c>
      <c r="K60" t="s">
        <v>438</v>
      </c>
      <c r="L60" t="s">
        <v>681</v>
      </c>
    </row>
    <row r="61" spans="1:12" s="46" customFormat="1" x14ac:dyDescent="0.25">
      <c r="A61" s="46" t="s">
        <v>674</v>
      </c>
      <c r="B61" s="46" t="s">
        <v>675</v>
      </c>
      <c r="C61" s="46" t="s">
        <v>664</v>
      </c>
      <c r="D61" s="46" t="s">
        <v>518</v>
      </c>
      <c r="E61" s="46" t="s">
        <v>678</v>
      </c>
      <c r="F61" s="46" t="s">
        <v>679</v>
      </c>
      <c r="G61" s="46" t="s">
        <v>435</v>
      </c>
      <c r="H61" s="46" t="s">
        <v>436</v>
      </c>
      <c r="I61" s="46" t="s">
        <v>680</v>
      </c>
      <c r="K61" s="46" t="s">
        <v>438</v>
      </c>
      <c r="L61" s="46" t="s">
        <v>681</v>
      </c>
    </row>
    <row r="62" spans="1:12" x14ac:dyDescent="0.25">
      <c r="A62" t="s">
        <v>733</v>
      </c>
      <c r="B62" t="s">
        <v>734</v>
      </c>
      <c r="C62" t="s">
        <v>735</v>
      </c>
      <c r="D62" t="s">
        <v>489</v>
      </c>
      <c r="E62" t="s">
        <v>571</v>
      </c>
      <c r="F62" t="s">
        <v>444</v>
      </c>
      <c r="G62" t="s">
        <v>435</v>
      </c>
      <c r="H62" t="s">
        <v>436</v>
      </c>
      <c r="I62" t="s">
        <v>736</v>
      </c>
      <c r="J62" s="44">
        <v>2</v>
      </c>
      <c r="K62" t="s">
        <v>438</v>
      </c>
      <c r="L62" t="s">
        <v>737</v>
      </c>
    </row>
    <row r="63" spans="1:12" s="46" customFormat="1" x14ac:dyDescent="0.25">
      <c r="A63" s="46" t="s">
        <v>662</v>
      </c>
      <c r="B63" s="46" t="s">
        <v>663</v>
      </c>
      <c r="C63" s="46" t="s">
        <v>664</v>
      </c>
      <c r="D63" s="46" t="s">
        <v>489</v>
      </c>
      <c r="E63" s="46" t="s">
        <v>529</v>
      </c>
      <c r="F63" s="46" t="s">
        <v>665</v>
      </c>
      <c r="G63" s="46" t="s">
        <v>435</v>
      </c>
      <c r="H63" s="46" t="s">
        <v>436</v>
      </c>
      <c r="I63" s="46" t="s">
        <v>666</v>
      </c>
      <c r="J63" s="47">
        <v>800</v>
      </c>
      <c r="K63" s="46" t="s">
        <v>438</v>
      </c>
      <c r="L63" s="46" t="s">
        <v>667</v>
      </c>
    </row>
    <row r="64" spans="1:12" x14ac:dyDescent="0.25">
      <c r="A64" t="s">
        <v>689</v>
      </c>
      <c r="B64" t="s">
        <v>690</v>
      </c>
      <c r="C64" t="s">
        <v>664</v>
      </c>
      <c r="D64" t="s">
        <v>691</v>
      </c>
      <c r="E64" t="s">
        <v>529</v>
      </c>
      <c r="F64" t="s">
        <v>692</v>
      </c>
      <c r="G64" t="s">
        <v>531</v>
      </c>
      <c r="H64" t="s">
        <v>436</v>
      </c>
      <c r="I64" t="s">
        <v>693</v>
      </c>
      <c r="J64" s="44">
        <v>30</v>
      </c>
      <c r="K64" t="s">
        <v>438</v>
      </c>
      <c r="L64" t="s">
        <v>694</v>
      </c>
    </row>
    <row r="65" spans="1:12" x14ac:dyDescent="0.25">
      <c r="A65" t="s">
        <v>662</v>
      </c>
      <c r="B65" t="s">
        <v>663</v>
      </c>
      <c r="C65" t="s">
        <v>664</v>
      </c>
      <c r="D65" t="s">
        <v>695</v>
      </c>
      <c r="E65" t="s">
        <v>529</v>
      </c>
      <c r="F65" t="s">
        <v>696</v>
      </c>
      <c r="G65" t="s">
        <v>531</v>
      </c>
      <c r="H65" t="s">
        <v>436</v>
      </c>
      <c r="I65" t="s">
        <v>697</v>
      </c>
      <c r="J65" s="44">
        <v>800</v>
      </c>
      <c r="K65" t="s">
        <v>438</v>
      </c>
      <c r="L65" t="s">
        <v>667</v>
      </c>
    </row>
    <row r="66" spans="1:12" x14ac:dyDescent="0.25">
      <c r="A66" t="s">
        <v>717</v>
      </c>
      <c r="B66" t="s">
        <v>663</v>
      </c>
      <c r="C66" t="s">
        <v>664</v>
      </c>
      <c r="D66" t="s">
        <v>698</v>
      </c>
      <c r="E66" t="s">
        <v>529</v>
      </c>
      <c r="F66" t="s">
        <v>444</v>
      </c>
      <c r="G66" t="s">
        <v>435</v>
      </c>
      <c r="H66" t="s">
        <v>436</v>
      </c>
      <c r="I66" t="s">
        <v>718</v>
      </c>
      <c r="K66" t="s">
        <v>438</v>
      </c>
      <c r="L66" t="s">
        <v>667</v>
      </c>
    </row>
    <row r="67" spans="1:12" x14ac:dyDescent="0.25">
      <c r="A67" t="s">
        <v>662</v>
      </c>
      <c r="B67" t="s">
        <v>663</v>
      </c>
      <c r="C67" t="s">
        <v>664</v>
      </c>
      <c r="D67" t="s">
        <v>698</v>
      </c>
      <c r="E67" t="s">
        <v>529</v>
      </c>
      <c r="F67" t="s">
        <v>731</v>
      </c>
      <c r="G67" t="s">
        <v>531</v>
      </c>
      <c r="H67" t="s">
        <v>436</v>
      </c>
      <c r="I67" t="s">
        <v>732</v>
      </c>
      <c r="J67" s="44">
        <v>800</v>
      </c>
      <c r="K67" t="s">
        <v>438</v>
      </c>
      <c r="L67" t="s">
        <v>667</v>
      </c>
    </row>
    <row r="68" spans="1:12" x14ac:dyDescent="0.25">
      <c r="A68" t="s">
        <v>724</v>
      </c>
      <c r="B68" t="s">
        <v>725</v>
      </c>
      <c r="C68" t="s">
        <v>664</v>
      </c>
      <c r="D68" t="s">
        <v>726</v>
      </c>
      <c r="E68" t="s">
        <v>545</v>
      </c>
      <c r="F68" t="s">
        <v>444</v>
      </c>
      <c r="G68" t="s">
        <v>451</v>
      </c>
      <c r="H68" t="s">
        <v>436</v>
      </c>
      <c r="I68" t="s">
        <v>727</v>
      </c>
      <c r="J68" s="44">
        <v>37</v>
      </c>
      <c r="K68" t="s">
        <v>438</v>
      </c>
      <c r="L68" t="s">
        <v>728</v>
      </c>
    </row>
    <row r="69" spans="1:12" s="46" customFormat="1" x14ac:dyDescent="0.25">
      <c r="A69" s="46" t="s">
        <v>668</v>
      </c>
      <c r="B69" s="46" t="s">
        <v>669</v>
      </c>
      <c r="C69" s="46" t="s">
        <v>664</v>
      </c>
      <c r="D69" s="46" t="s">
        <v>670</v>
      </c>
      <c r="E69" s="46" t="s">
        <v>480</v>
      </c>
      <c r="F69" s="46" t="s">
        <v>671</v>
      </c>
      <c r="G69" s="46" t="s">
        <v>435</v>
      </c>
      <c r="H69" s="46" t="s">
        <v>436</v>
      </c>
      <c r="I69" s="46" t="s">
        <v>672</v>
      </c>
      <c r="J69" s="47">
        <v>20</v>
      </c>
      <c r="K69" s="46" t="s">
        <v>438</v>
      </c>
      <c r="L69" s="46" t="s">
        <v>673</v>
      </c>
    </row>
    <row r="70" spans="1:12" x14ac:dyDescent="0.25">
      <c r="A70" t="s">
        <v>706</v>
      </c>
      <c r="B70" t="s">
        <v>707</v>
      </c>
      <c r="C70" t="s">
        <v>664</v>
      </c>
      <c r="D70" t="s">
        <v>708</v>
      </c>
      <c r="E70" t="s">
        <v>568</v>
      </c>
      <c r="F70" t="s">
        <v>692</v>
      </c>
      <c r="G70" t="s">
        <v>451</v>
      </c>
      <c r="H70" t="s">
        <v>436</v>
      </c>
      <c r="I70" t="s">
        <v>709</v>
      </c>
      <c r="J70" s="44">
        <v>20</v>
      </c>
      <c r="K70" t="s">
        <v>438</v>
      </c>
      <c r="L70" t="s">
        <v>710</v>
      </c>
    </row>
    <row r="71" spans="1:12" s="46" customFormat="1" x14ac:dyDescent="0.25">
      <c r="A71" s="46" t="s">
        <v>537</v>
      </c>
      <c r="B71" s="46" t="s">
        <v>538</v>
      </c>
      <c r="C71" s="46" t="s">
        <v>664</v>
      </c>
      <c r="D71" s="46" t="s">
        <v>528</v>
      </c>
      <c r="E71" s="46" t="s">
        <v>539</v>
      </c>
      <c r="F71" s="46" t="s">
        <v>704</v>
      </c>
      <c r="G71" s="46" t="s">
        <v>435</v>
      </c>
      <c r="H71" s="46" t="s">
        <v>436</v>
      </c>
      <c r="I71" s="46" t="s">
        <v>705</v>
      </c>
      <c r="J71" s="47">
        <v>25</v>
      </c>
      <c r="K71" s="46" t="s">
        <v>438</v>
      </c>
      <c r="L71" s="46" t="s">
        <v>542</v>
      </c>
    </row>
    <row r="72" spans="1:12" x14ac:dyDescent="0.25">
      <c r="A72" t="s">
        <v>656</v>
      </c>
      <c r="B72" t="s">
        <v>657</v>
      </c>
      <c r="C72" t="s">
        <v>654</v>
      </c>
      <c r="D72" t="s">
        <v>658</v>
      </c>
      <c r="E72" t="s">
        <v>659</v>
      </c>
      <c r="F72" t="s">
        <v>444</v>
      </c>
      <c r="G72" t="s">
        <v>435</v>
      </c>
      <c r="H72" t="s">
        <v>445</v>
      </c>
      <c r="I72" t="s">
        <v>660</v>
      </c>
      <c r="J72" s="44">
        <v>150</v>
      </c>
      <c r="K72" t="s">
        <v>655</v>
      </c>
      <c r="L72" t="s">
        <v>661</v>
      </c>
    </row>
    <row r="73" spans="1:12" x14ac:dyDescent="0.25">
      <c r="A73" t="s">
        <v>662</v>
      </c>
      <c r="B73" t="s">
        <v>663</v>
      </c>
      <c r="C73" t="s">
        <v>664</v>
      </c>
      <c r="D73" t="s">
        <v>698</v>
      </c>
      <c r="E73" t="s">
        <v>524</v>
      </c>
      <c r="F73" t="s">
        <v>498</v>
      </c>
      <c r="G73" t="s">
        <v>531</v>
      </c>
      <c r="H73" t="s">
        <v>436</v>
      </c>
      <c r="I73" t="s">
        <v>699</v>
      </c>
      <c r="J73" s="44">
        <v>750</v>
      </c>
      <c r="K73" t="s">
        <v>438</v>
      </c>
      <c r="L73" t="s">
        <v>700</v>
      </c>
    </row>
    <row r="74" spans="1:12" x14ac:dyDescent="0.25">
      <c r="A74" t="s">
        <v>701</v>
      </c>
      <c r="B74" t="s">
        <v>702</v>
      </c>
      <c r="C74" t="s">
        <v>664</v>
      </c>
      <c r="D74" t="s">
        <v>698</v>
      </c>
      <c r="E74" t="s">
        <v>524</v>
      </c>
      <c r="F74" t="s">
        <v>444</v>
      </c>
      <c r="G74" t="s">
        <v>471</v>
      </c>
      <c r="H74" t="s">
        <v>436</v>
      </c>
      <c r="I74" t="s">
        <v>703</v>
      </c>
      <c r="K74" t="s">
        <v>438</v>
      </c>
    </row>
    <row r="75" spans="1:12" x14ac:dyDescent="0.25">
      <c r="A75" t="s">
        <v>689</v>
      </c>
      <c r="B75" t="s">
        <v>690</v>
      </c>
      <c r="C75" t="s">
        <v>664</v>
      </c>
      <c r="D75" t="s">
        <v>698</v>
      </c>
      <c r="E75" t="s">
        <v>524</v>
      </c>
      <c r="F75" t="s">
        <v>444</v>
      </c>
      <c r="G75" t="s">
        <v>471</v>
      </c>
      <c r="H75" t="s">
        <v>436</v>
      </c>
      <c r="I75" t="s">
        <v>711</v>
      </c>
      <c r="J75" s="44">
        <v>98</v>
      </c>
      <c r="K75" t="s">
        <v>438</v>
      </c>
    </row>
    <row r="76" spans="1:12" x14ac:dyDescent="0.25">
      <c r="A76" t="s">
        <v>662</v>
      </c>
      <c r="B76" t="s">
        <v>663</v>
      </c>
      <c r="C76" t="s">
        <v>664</v>
      </c>
      <c r="D76" t="s">
        <v>695</v>
      </c>
      <c r="E76" t="s">
        <v>524</v>
      </c>
      <c r="F76" t="s">
        <v>498</v>
      </c>
      <c r="G76" t="s">
        <v>531</v>
      </c>
      <c r="H76" t="s">
        <v>436</v>
      </c>
      <c r="I76" t="s">
        <v>699</v>
      </c>
      <c r="J76" s="44">
        <v>750</v>
      </c>
      <c r="K76" t="s">
        <v>438</v>
      </c>
      <c r="L76" t="s">
        <v>667</v>
      </c>
    </row>
    <row r="77" spans="1:12" x14ac:dyDescent="0.25">
      <c r="A77" t="s">
        <v>712</v>
      </c>
      <c r="B77" t="s">
        <v>713</v>
      </c>
      <c r="C77" t="s">
        <v>664</v>
      </c>
      <c r="D77" t="s">
        <v>528</v>
      </c>
      <c r="E77" t="s">
        <v>557</v>
      </c>
      <c r="F77" t="s">
        <v>714</v>
      </c>
      <c r="G77" t="s">
        <v>471</v>
      </c>
      <c r="H77" t="s">
        <v>445</v>
      </c>
      <c r="I77" t="s">
        <v>715</v>
      </c>
      <c r="J77" s="44">
        <v>44</v>
      </c>
      <c r="K77" t="s">
        <v>438</v>
      </c>
      <c r="L77" t="s">
        <v>716</v>
      </c>
    </row>
    <row r="79" spans="1:12" x14ac:dyDescent="0.25">
      <c r="A79" t="s">
        <v>738</v>
      </c>
      <c r="B79" t="s">
        <v>742</v>
      </c>
      <c r="C79" t="s">
        <v>489</v>
      </c>
      <c r="D79" t="s">
        <v>442</v>
      </c>
      <c r="E79" t="s">
        <v>743</v>
      </c>
      <c r="F79" t="s">
        <v>444</v>
      </c>
      <c r="G79" t="s">
        <v>435</v>
      </c>
      <c r="H79" t="s">
        <v>436</v>
      </c>
      <c r="I79" t="s">
        <v>744</v>
      </c>
      <c r="J79" s="44">
        <v>26</v>
      </c>
      <c r="K79" t="s">
        <v>438</v>
      </c>
      <c r="L79" t="s">
        <v>741</v>
      </c>
    </row>
    <row r="80" spans="1:12" x14ac:dyDescent="0.25">
      <c r="A80" t="s">
        <v>738</v>
      </c>
      <c r="B80" t="s">
        <v>745</v>
      </c>
      <c r="C80" t="s">
        <v>489</v>
      </c>
      <c r="D80" t="s">
        <v>442</v>
      </c>
      <c r="E80" t="s">
        <v>519</v>
      </c>
      <c r="F80" t="s">
        <v>444</v>
      </c>
      <c r="G80" t="s">
        <v>435</v>
      </c>
      <c r="H80" t="s">
        <v>436</v>
      </c>
      <c r="I80" t="s">
        <v>746</v>
      </c>
      <c r="K80" t="s">
        <v>438</v>
      </c>
      <c r="L80" t="s">
        <v>741</v>
      </c>
    </row>
    <row r="81" spans="1:12" x14ac:dyDescent="0.25">
      <c r="A81" t="s">
        <v>738</v>
      </c>
      <c r="B81" t="s">
        <v>739</v>
      </c>
      <c r="C81" t="s">
        <v>489</v>
      </c>
      <c r="D81" t="s">
        <v>442</v>
      </c>
      <c r="E81" t="s">
        <v>615</v>
      </c>
      <c r="F81" t="s">
        <v>444</v>
      </c>
      <c r="G81" t="s">
        <v>435</v>
      </c>
      <c r="H81" t="s">
        <v>436</v>
      </c>
      <c r="I81" t="s">
        <v>740</v>
      </c>
      <c r="J81" s="44">
        <v>30</v>
      </c>
      <c r="K81" t="s">
        <v>438</v>
      </c>
      <c r="L81" t="s">
        <v>741</v>
      </c>
    </row>
    <row r="83" spans="1:12" x14ac:dyDescent="0.25">
      <c r="A83" t="s">
        <v>747</v>
      </c>
      <c r="B83" t="s">
        <v>754</v>
      </c>
      <c r="C83" t="s">
        <v>749</v>
      </c>
      <c r="D83" t="s">
        <v>750</v>
      </c>
      <c r="E83" t="s">
        <v>743</v>
      </c>
      <c r="F83" t="s">
        <v>755</v>
      </c>
      <c r="G83" t="s">
        <v>435</v>
      </c>
      <c r="H83" t="s">
        <v>445</v>
      </c>
      <c r="I83" t="s">
        <v>756</v>
      </c>
      <c r="K83" t="s">
        <v>438</v>
      </c>
      <c r="L83" t="s">
        <v>753</v>
      </c>
    </row>
    <row r="84" spans="1:12" x14ac:dyDescent="0.25">
      <c r="A84" t="s">
        <v>757</v>
      </c>
      <c r="B84" t="s">
        <v>758</v>
      </c>
      <c r="C84" t="s">
        <v>749</v>
      </c>
      <c r="D84" t="s">
        <v>750</v>
      </c>
      <c r="E84" t="s">
        <v>519</v>
      </c>
      <c r="F84" t="s">
        <v>759</v>
      </c>
      <c r="G84" t="s">
        <v>435</v>
      </c>
      <c r="H84" t="s">
        <v>436</v>
      </c>
      <c r="I84" t="s">
        <v>760</v>
      </c>
      <c r="J84" s="45">
        <v>2500</v>
      </c>
      <c r="K84" t="s">
        <v>438</v>
      </c>
      <c r="L84" t="s">
        <v>761</v>
      </c>
    </row>
    <row r="85" spans="1:12" x14ac:dyDescent="0.25">
      <c r="A85" t="s">
        <v>747</v>
      </c>
      <c r="B85" t="s">
        <v>748</v>
      </c>
      <c r="C85" t="s">
        <v>749</v>
      </c>
      <c r="D85" t="s">
        <v>750</v>
      </c>
      <c r="E85" t="s">
        <v>568</v>
      </c>
      <c r="F85" t="s">
        <v>751</v>
      </c>
      <c r="G85" t="s">
        <v>435</v>
      </c>
      <c r="H85" t="s">
        <v>445</v>
      </c>
      <c r="I85" t="s">
        <v>752</v>
      </c>
      <c r="K85" t="s">
        <v>438</v>
      </c>
      <c r="L85" t="s">
        <v>753</v>
      </c>
    </row>
    <row r="86" spans="1:12" x14ac:dyDescent="0.25">
      <c r="A86" t="s">
        <v>762</v>
      </c>
      <c r="B86" t="s">
        <v>763</v>
      </c>
      <c r="C86" t="s">
        <v>749</v>
      </c>
      <c r="D86" t="s">
        <v>528</v>
      </c>
      <c r="E86" t="s">
        <v>568</v>
      </c>
      <c r="F86" t="s">
        <v>530</v>
      </c>
      <c r="G86" t="s">
        <v>435</v>
      </c>
      <c r="H86" t="s">
        <v>445</v>
      </c>
      <c r="I86" t="s">
        <v>764</v>
      </c>
      <c r="J86" s="44">
        <v>64</v>
      </c>
      <c r="K86" t="s">
        <v>438</v>
      </c>
      <c r="L86" t="s">
        <v>765</v>
      </c>
    </row>
    <row r="88" spans="1:12" x14ac:dyDescent="0.25">
      <c r="A88" t="s">
        <v>907</v>
      </c>
      <c r="B88" t="s">
        <v>908</v>
      </c>
      <c r="C88" t="s">
        <v>909</v>
      </c>
      <c r="D88" t="s">
        <v>682</v>
      </c>
      <c r="E88" t="s">
        <v>443</v>
      </c>
      <c r="F88" t="s">
        <v>444</v>
      </c>
      <c r="G88" t="s">
        <v>435</v>
      </c>
      <c r="H88" t="s">
        <v>436</v>
      </c>
      <c r="I88" t="s">
        <v>910</v>
      </c>
      <c r="J88" s="44">
        <v>10</v>
      </c>
      <c r="K88" t="s">
        <v>438</v>
      </c>
      <c r="L88" t="s">
        <v>911</v>
      </c>
    </row>
    <row r="89" spans="1:12" x14ac:dyDescent="0.25">
      <c r="J89" s="44"/>
    </row>
    <row r="90" spans="1:12" x14ac:dyDescent="0.25">
      <c r="A90" t="s">
        <v>915</v>
      </c>
      <c r="B90" t="s">
        <v>934</v>
      </c>
      <c r="C90" t="s">
        <v>912</v>
      </c>
      <c r="D90" t="s">
        <v>682</v>
      </c>
      <c r="E90" t="s">
        <v>844</v>
      </c>
      <c r="F90" t="s">
        <v>935</v>
      </c>
      <c r="G90" t="s">
        <v>918</v>
      </c>
      <c r="H90" t="s">
        <v>436</v>
      </c>
      <c r="I90" t="s">
        <v>936</v>
      </c>
      <c r="J90" s="44">
        <v>45</v>
      </c>
      <c r="K90" t="s">
        <v>438</v>
      </c>
      <c r="L90" t="s">
        <v>920</v>
      </c>
    </row>
    <row r="91" spans="1:12" x14ac:dyDescent="0.25">
      <c r="A91" t="s">
        <v>915</v>
      </c>
      <c r="B91" t="s">
        <v>921</v>
      </c>
      <c r="C91" t="s">
        <v>912</v>
      </c>
      <c r="D91" t="s">
        <v>682</v>
      </c>
      <c r="E91" t="s">
        <v>433</v>
      </c>
      <c r="F91" t="s">
        <v>917</v>
      </c>
      <c r="G91" t="s">
        <v>918</v>
      </c>
      <c r="H91" t="s">
        <v>436</v>
      </c>
      <c r="I91" t="s">
        <v>922</v>
      </c>
      <c r="J91" s="44">
        <v>45</v>
      </c>
      <c r="K91" t="s">
        <v>438</v>
      </c>
      <c r="L91" t="s">
        <v>920</v>
      </c>
    </row>
    <row r="92" spans="1:12" x14ac:dyDescent="0.25">
      <c r="A92" t="s">
        <v>937</v>
      </c>
      <c r="B92" t="s">
        <v>938</v>
      </c>
      <c r="C92" t="s">
        <v>912</v>
      </c>
      <c r="D92" t="s">
        <v>682</v>
      </c>
      <c r="E92" t="s">
        <v>433</v>
      </c>
      <c r="F92" t="s">
        <v>939</v>
      </c>
      <c r="G92" t="s">
        <v>471</v>
      </c>
      <c r="H92" t="s">
        <v>436</v>
      </c>
      <c r="I92" t="s">
        <v>940</v>
      </c>
      <c r="J92" s="44">
        <v>80</v>
      </c>
      <c r="K92" t="s">
        <v>438</v>
      </c>
      <c r="L92" t="s">
        <v>941</v>
      </c>
    </row>
    <row r="93" spans="1:12" s="48" customFormat="1" x14ac:dyDescent="0.25">
      <c r="A93" s="48" t="s">
        <v>928</v>
      </c>
      <c r="B93" s="48" t="s">
        <v>929</v>
      </c>
      <c r="C93" s="48" t="s">
        <v>912</v>
      </c>
      <c r="D93" s="48" t="s">
        <v>682</v>
      </c>
      <c r="E93" s="48" t="s">
        <v>930</v>
      </c>
      <c r="F93" s="48" t="s">
        <v>931</v>
      </c>
      <c r="G93" s="48" t="s">
        <v>435</v>
      </c>
      <c r="H93" s="48" t="s">
        <v>436</v>
      </c>
      <c r="I93" s="48" t="s">
        <v>932</v>
      </c>
      <c r="J93" s="49">
        <v>48</v>
      </c>
      <c r="K93" s="48" t="s">
        <v>438</v>
      </c>
      <c r="L93" s="48" t="s">
        <v>933</v>
      </c>
    </row>
    <row r="94" spans="1:12" s="48" customFormat="1" x14ac:dyDescent="0.25">
      <c r="A94" s="48" t="s">
        <v>469</v>
      </c>
      <c r="B94" s="48" t="s">
        <v>470</v>
      </c>
      <c r="C94" s="48" t="s">
        <v>912</v>
      </c>
      <c r="D94" s="48" t="s">
        <v>682</v>
      </c>
      <c r="E94" s="48" t="s">
        <v>461</v>
      </c>
      <c r="F94" s="48" t="s">
        <v>618</v>
      </c>
      <c r="G94" s="48" t="s">
        <v>435</v>
      </c>
      <c r="H94" s="48" t="s">
        <v>436</v>
      </c>
      <c r="I94" s="48" t="s">
        <v>619</v>
      </c>
      <c r="J94" s="49">
        <v>80</v>
      </c>
      <c r="K94" s="48" t="s">
        <v>438</v>
      </c>
      <c r="L94" s="48" t="s">
        <v>473</v>
      </c>
    </row>
    <row r="95" spans="1:12" x14ac:dyDescent="0.25">
      <c r="A95" t="s">
        <v>948</v>
      </c>
      <c r="B95" t="s">
        <v>949</v>
      </c>
      <c r="C95" t="s">
        <v>912</v>
      </c>
      <c r="D95" t="s">
        <v>682</v>
      </c>
      <c r="E95" t="s">
        <v>461</v>
      </c>
      <c r="F95" t="s">
        <v>444</v>
      </c>
      <c r="G95" t="s">
        <v>451</v>
      </c>
      <c r="H95" t="s">
        <v>436</v>
      </c>
      <c r="I95" t="s">
        <v>950</v>
      </c>
      <c r="J95" s="44">
        <v>3</v>
      </c>
      <c r="K95" t="s">
        <v>438</v>
      </c>
      <c r="L95" t="s">
        <v>951</v>
      </c>
    </row>
    <row r="96" spans="1:12" x14ac:dyDescent="0.25">
      <c r="A96" t="s">
        <v>915</v>
      </c>
      <c r="B96" t="s">
        <v>916</v>
      </c>
      <c r="C96" t="s">
        <v>912</v>
      </c>
      <c r="D96" t="s">
        <v>682</v>
      </c>
      <c r="E96" t="s">
        <v>504</v>
      </c>
      <c r="F96" t="s">
        <v>917</v>
      </c>
      <c r="G96" t="s">
        <v>918</v>
      </c>
      <c r="H96" t="s">
        <v>436</v>
      </c>
      <c r="I96" t="s">
        <v>919</v>
      </c>
      <c r="J96" s="44">
        <v>200</v>
      </c>
      <c r="K96" t="s">
        <v>438</v>
      </c>
      <c r="L96" t="s">
        <v>920</v>
      </c>
    </row>
    <row r="97" spans="1:12" x14ac:dyDescent="0.25">
      <c r="A97" t="s">
        <v>469</v>
      </c>
      <c r="B97" t="s">
        <v>470</v>
      </c>
      <c r="C97" t="s">
        <v>912</v>
      </c>
      <c r="D97" t="s">
        <v>518</v>
      </c>
      <c r="E97" t="s">
        <v>545</v>
      </c>
      <c r="F97" t="s">
        <v>530</v>
      </c>
      <c r="G97" t="s">
        <v>471</v>
      </c>
      <c r="H97" t="s">
        <v>436</v>
      </c>
      <c r="I97" t="s">
        <v>913</v>
      </c>
      <c r="J97" s="44">
        <v>150</v>
      </c>
      <c r="K97" t="s">
        <v>438</v>
      </c>
      <c r="L97" t="s">
        <v>473</v>
      </c>
    </row>
    <row r="98" spans="1:12" s="48" customFormat="1" x14ac:dyDescent="0.25">
      <c r="A98" s="48" t="s">
        <v>469</v>
      </c>
      <c r="B98" s="48" t="s">
        <v>470</v>
      </c>
      <c r="C98" s="48" t="s">
        <v>912</v>
      </c>
      <c r="D98" s="48" t="s">
        <v>682</v>
      </c>
      <c r="E98" s="48" t="s">
        <v>545</v>
      </c>
      <c r="F98" s="48" t="s">
        <v>914</v>
      </c>
      <c r="G98" s="48" t="s">
        <v>435</v>
      </c>
      <c r="H98" s="48" t="s">
        <v>436</v>
      </c>
      <c r="I98" s="48" t="s">
        <v>913</v>
      </c>
      <c r="J98" s="49">
        <v>100</v>
      </c>
      <c r="K98" s="48" t="s">
        <v>438</v>
      </c>
      <c r="L98" s="48" t="s">
        <v>473</v>
      </c>
    </row>
    <row r="99" spans="1:12" x14ac:dyDescent="0.25">
      <c r="A99" t="s">
        <v>478</v>
      </c>
      <c r="B99" t="s">
        <v>479</v>
      </c>
      <c r="C99" t="s">
        <v>912</v>
      </c>
      <c r="D99" t="s">
        <v>682</v>
      </c>
      <c r="E99" t="s">
        <v>480</v>
      </c>
      <c r="F99" t="s">
        <v>444</v>
      </c>
      <c r="G99" t="s">
        <v>435</v>
      </c>
      <c r="H99" t="s">
        <v>436</v>
      </c>
      <c r="I99" t="s">
        <v>481</v>
      </c>
      <c r="J99" s="44">
        <v>62</v>
      </c>
      <c r="K99" t="s">
        <v>438</v>
      </c>
      <c r="L99" t="s">
        <v>482</v>
      </c>
    </row>
    <row r="100" spans="1:12" x14ac:dyDescent="0.25">
      <c r="A100" t="s">
        <v>925</v>
      </c>
      <c r="B100" t="s">
        <v>823</v>
      </c>
      <c r="C100" t="s">
        <v>912</v>
      </c>
      <c r="D100" t="s">
        <v>682</v>
      </c>
      <c r="E100" t="s">
        <v>480</v>
      </c>
      <c r="F100" t="s">
        <v>444</v>
      </c>
      <c r="G100" t="s">
        <v>471</v>
      </c>
      <c r="H100" t="s">
        <v>436</v>
      </c>
      <c r="I100" t="s">
        <v>926</v>
      </c>
      <c r="J100" s="44">
        <v>90</v>
      </c>
      <c r="K100" t="s">
        <v>438</v>
      </c>
      <c r="L100" t="s">
        <v>927</v>
      </c>
    </row>
    <row r="101" spans="1:12" x14ac:dyDescent="0.25">
      <c r="A101" t="s">
        <v>915</v>
      </c>
      <c r="B101" t="s">
        <v>916</v>
      </c>
      <c r="C101" t="s">
        <v>912</v>
      </c>
      <c r="D101" t="s">
        <v>682</v>
      </c>
      <c r="E101" t="s">
        <v>519</v>
      </c>
      <c r="F101" t="s">
        <v>923</v>
      </c>
      <c r="G101" t="s">
        <v>918</v>
      </c>
      <c r="H101" t="s">
        <v>436</v>
      </c>
      <c r="I101" t="s">
        <v>924</v>
      </c>
      <c r="K101" t="s">
        <v>438</v>
      </c>
      <c r="L101" t="s">
        <v>920</v>
      </c>
    </row>
    <row r="102" spans="1:12" x14ac:dyDescent="0.25">
      <c r="A102" t="s">
        <v>942</v>
      </c>
      <c r="B102" t="s">
        <v>943</v>
      </c>
      <c r="C102" t="s">
        <v>912</v>
      </c>
      <c r="D102" t="s">
        <v>682</v>
      </c>
      <c r="E102" t="s">
        <v>519</v>
      </c>
      <c r="F102" t="s">
        <v>944</v>
      </c>
      <c r="G102" t="s">
        <v>471</v>
      </c>
      <c r="H102" t="s">
        <v>445</v>
      </c>
      <c r="I102" t="s">
        <v>945</v>
      </c>
      <c r="K102" t="s">
        <v>946</v>
      </c>
      <c r="L102" t="s">
        <v>947</v>
      </c>
    </row>
    <row r="103" spans="1:12" x14ac:dyDescent="0.25">
      <c r="J103" s="44"/>
    </row>
    <row r="104" spans="1:12" x14ac:dyDescent="0.25">
      <c r="A104" t="s">
        <v>952</v>
      </c>
      <c r="B104" t="s">
        <v>953</v>
      </c>
      <c r="C104" t="s">
        <v>954</v>
      </c>
      <c r="D104" t="s">
        <v>682</v>
      </c>
      <c r="E104" t="s">
        <v>571</v>
      </c>
      <c r="F104" t="s">
        <v>955</v>
      </c>
      <c r="G104" t="s">
        <v>471</v>
      </c>
      <c r="H104" t="s">
        <v>445</v>
      </c>
      <c r="I104" t="s">
        <v>956</v>
      </c>
      <c r="K104" t="s">
        <v>438</v>
      </c>
      <c r="L104" t="s">
        <v>957</v>
      </c>
    </row>
    <row r="106" spans="1:12" x14ac:dyDescent="0.25">
      <c r="A106" t="s">
        <v>958</v>
      </c>
      <c r="B106" t="s">
        <v>959</v>
      </c>
      <c r="C106" t="s">
        <v>960</v>
      </c>
      <c r="D106" t="s">
        <v>528</v>
      </c>
      <c r="E106" t="s">
        <v>545</v>
      </c>
      <c r="F106" t="s">
        <v>444</v>
      </c>
      <c r="G106" t="s">
        <v>435</v>
      </c>
      <c r="H106" t="s">
        <v>445</v>
      </c>
      <c r="I106" t="s">
        <v>961</v>
      </c>
      <c r="J106" s="44">
        <v>30</v>
      </c>
      <c r="K106" t="s">
        <v>438</v>
      </c>
      <c r="L106" t="s">
        <v>962</v>
      </c>
    </row>
    <row r="107" spans="1:12" x14ac:dyDescent="0.25">
      <c r="J107" s="44"/>
    </row>
    <row r="108" spans="1:12" x14ac:dyDescent="0.25">
      <c r="A108" t="s">
        <v>766</v>
      </c>
      <c r="B108" t="s">
        <v>767</v>
      </c>
      <c r="C108" t="s">
        <v>338</v>
      </c>
      <c r="D108" t="s">
        <v>768</v>
      </c>
      <c r="E108" t="s">
        <v>443</v>
      </c>
      <c r="F108" t="s">
        <v>444</v>
      </c>
      <c r="G108" t="s">
        <v>435</v>
      </c>
      <c r="H108" t="s">
        <v>445</v>
      </c>
      <c r="I108" t="s">
        <v>769</v>
      </c>
      <c r="K108" t="s">
        <v>438</v>
      </c>
      <c r="L108" t="s">
        <v>770</v>
      </c>
    </row>
    <row r="109" spans="1:12" x14ac:dyDescent="0.25">
      <c r="A109" t="s">
        <v>771</v>
      </c>
      <c r="B109" t="s">
        <v>772</v>
      </c>
      <c r="C109" t="s">
        <v>338</v>
      </c>
      <c r="D109" t="s">
        <v>773</v>
      </c>
      <c r="E109" t="s">
        <v>443</v>
      </c>
      <c r="F109" t="s">
        <v>444</v>
      </c>
      <c r="G109" t="s">
        <v>435</v>
      </c>
      <c r="H109" t="s">
        <v>445</v>
      </c>
      <c r="I109" t="s">
        <v>774</v>
      </c>
      <c r="K109" t="s">
        <v>639</v>
      </c>
      <c r="L109" t="s">
        <v>775</v>
      </c>
    </row>
    <row r="110" spans="1:12" x14ac:dyDescent="0.25">
      <c r="A110" t="s">
        <v>790</v>
      </c>
      <c r="B110" t="s">
        <v>791</v>
      </c>
      <c r="C110" t="s">
        <v>338</v>
      </c>
      <c r="D110" t="s">
        <v>792</v>
      </c>
      <c r="E110" t="s">
        <v>443</v>
      </c>
      <c r="F110" t="s">
        <v>444</v>
      </c>
      <c r="G110" t="s">
        <v>435</v>
      </c>
      <c r="H110" t="s">
        <v>445</v>
      </c>
      <c r="I110" t="s">
        <v>793</v>
      </c>
      <c r="J110" s="44">
        <v>45</v>
      </c>
      <c r="K110" t="s">
        <v>639</v>
      </c>
      <c r="L110" t="s">
        <v>794</v>
      </c>
    </row>
    <row r="111" spans="1:12" x14ac:dyDescent="0.25">
      <c r="A111" t="s">
        <v>674</v>
      </c>
      <c r="B111" t="s">
        <v>776</v>
      </c>
      <c r="C111" t="s">
        <v>338</v>
      </c>
      <c r="D111" t="s">
        <v>777</v>
      </c>
      <c r="E111" t="s">
        <v>678</v>
      </c>
      <c r="F111" t="s">
        <v>444</v>
      </c>
      <c r="G111" t="s">
        <v>435</v>
      </c>
      <c r="H111" t="s">
        <v>436</v>
      </c>
      <c r="I111" t="s">
        <v>778</v>
      </c>
      <c r="K111" t="s">
        <v>639</v>
      </c>
      <c r="L111" t="s">
        <v>779</v>
      </c>
    </row>
    <row r="112" spans="1:12" x14ac:dyDescent="0.25">
      <c r="A112" t="s">
        <v>674</v>
      </c>
      <c r="B112" t="s">
        <v>776</v>
      </c>
      <c r="C112" t="s">
        <v>338</v>
      </c>
      <c r="D112" t="s">
        <v>783</v>
      </c>
      <c r="E112" t="s">
        <v>678</v>
      </c>
      <c r="F112" t="s">
        <v>444</v>
      </c>
      <c r="G112" t="s">
        <v>435</v>
      </c>
      <c r="H112" t="s">
        <v>436</v>
      </c>
      <c r="I112" t="s">
        <v>784</v>
      </c>
      <c r="K112" t="s">
        <v>639</v>
      </c>
      <c r="L112" t="s">
        <v>779</v>
      </c>
    </row>
    <row r="113" spans="1:12" x14ac:dyDescent="0.25">
      <c r="A113" t="s">
        <v>674</v>
      </c>
      <c r="B113" t="s">
        <v>776</v>
      </c>
      <c r="C113" t="s">
        <v>338</v>
      </c>
      <c r="D113" t="s">
        <v>780</v>
      </c>
      <c r="E113" t="s">
        <v>461</v>
      </c>
      <c r="F113" t="s">
        <v>444</v>
      </c>
      <c r="G113" t="s">
        <v>435</v>
      </c>
      <c r="H113" t="s">
        <v>436</v>
      </c>
      <c r="I113" t="s">
        <v>781</v>
      </c>
      <c r="K113" t="s">
        <v>639</v>
      </c>
      <c r="L113" t="s">
        <v>779</v>
      </c>
    </row>
    <row r="114" spans="1:12" x14ac:dyDescent="0.25">
      <c r="A114" t="s">
        <v>805</v>
      </c>
      <c r="B114" t="s">
        <v>806</v>
      </c>
      <c r="C114" t="s">
        <v>338</v>
      </c>
      <c r="D114" t="s">
        <v>807</v>
      </c>
      <c r="E114" t="s">
        <v>571</v>
      </c>
      <c r="F114" t="s">
        <v>808</v>
      </c>
      <c r="G114" t="s">
        <v>471</v>
      </c>
      <c r="H114" t="s">
        <v>445</v>
      </c>
      <c r="I114" t="s">
        <v>809</v>
      </c>
      <c r="K114" t="s">
        <v>438</v>
      </c>
      <c r="L114" t="s">
        <v>810</v>
      </c>
    </row>
    <row r="115" spans="1:12" x14ac:dyDescent="0.25">
      <c r="A115" t="s">
        <v>785</v>
      </c>
      <c r="B115" t="s">
        <v>786</v>
      </c>
      <c r="C115" t="s">
        <v>338</v>
      </c>
      <c r="D115" t="s">
        <v>598</v>
      </c>
      <c r="E115" t="s">
        <v>787</v>
      </c>
      <c r="F115" t="s">
        <v>444</v>
      </c>
      <c r="G115" t="s">
        <v>435</v>
      </c>
      <c r="H115" t="s">
        <v>436</v>
      </c>
      <c r="I115" t="s">
        <v>788</v>
      </c>
      <c r="J115" s="45">
        <v>3300</v>
      </c>
      <c r="K115" t="s">
        <v>438</v>
      </c>
      <c r="L115" t="s">
        <v>789</v>
      </c>
    </row>
    <row r="116" spans="1:12" x14ac:dyDescent="0.25">
      <c r="A116" t="s">
        <v>800</v>
      </c>
      <c r="B116" t="s">
        <v>801</v>
      </c>
      <c r="C116" t="s">
        <v>338</v>
      </c>
      <c r="D116" t="s">
        <v>802</v>
      </c>
      <c r="E116" t="s">
        <v>787</v>
      </c>
      <c r="F116" t="s">
        <v>444</v>
      </c>
      <c r="G116" t="s">
        <v>435</v>
      </c>
      <c r="H116" t="s">
        <v>436</v>
      </c>
      <c r="I116" t="s">
        <v>803</v>
      </c>
      <c r="J116" s="44">
        <v>6</v>
      </c>
      <c r="K116" t="s">
        <v>639</v>
      </c>
      <c r="L116" t="s">
        <v>804</v>
      </c>
    </row>
    <row r="117" spans="1:12" x14ac:dyDescent="0.25">
      <c r="A117" t="s">
        <v>766</v>
      </c>
      <c r="B117" t="s">
        <v>767</v>
      </c>
      <c r="C117" t="s">
        <v>338</v>
      </c>
      <c r="D117" t="s">
        <v>768</v>
      </c>
      <c r="E117" t="s">
        <v>557</v>
      </c>
      <c r="F117" t="s">
        <v>444</v>
      </c>
      <c r="G117" t="s">
        <v>435</v>
      </c>
      <c r="H117" t="s">
        <v>445</v>
      </c>
      <c r="I117" t="s">
        <v>782</v>
      </c>
      <c r="K117" t="s">
        <v>438</v>
      </c>
      <c r="L117" t="s">
        <v>770</v>
      </c>
    </row>
    <row r="118" spans="1:12" x14ac:dyDescent="0.25">
      <c r="A118" t="s">
        <v>795</v>
      </c>
      <c r="B118" t="s">
        <v>796</v>
      </c>
      <c r="C118" t="s">
        <v>338</v>
      </c>
      <c r="D118" t="s">
        <v>797</v>
      </c>
      <c r="E118" t="s">
        <v>557</v>
      </c>
      <c r="F118" t="s">
        <v>444</v>
      </c>
      <c r="G118" t="s">
        <v>435</v>
      </c>
      <c r="H118" t="s">
        <v>436</v>
      </c>
      <c r="I118" t="s">
        <v>798</v>
      </c>
      <c r="J118" s="44">
        <v>75</v>
      </c>
      <c r="K118" t="s">
        <v>438</v>
      </c>
      <c r="L118" t="s">
        <v>799</v>
      </c>
    </row>
    <row r="119" spans="1:12" x14ac:dyDescent="0.25">
      <c r="A119" t="s">
        <v>811</v>
      </c>
      <c r="B119" t="s">
        <v>812</v>
      </c>
      <c r="C119" t="s">
        <v>813</v>
      </c>
      <c r="D119" t="s">
        <v>814</v>
      </c>
      <c r="E119" t="s">
        <v>480</v>
      </c>
      <c r="F119" t="s">
        <v>444</v>
      </c>
      <c r="G119" t="s">
        <v>471</v>
      </c>
      <c r="H119" t="s">
        <v>436</v>
      </c>
      <c r="I119" t="s">
        <v>815</v>
      </c>
      <c r="J119" s="44">
        <v>20</v>
      </c>
      <c r="K119" t="s">
        <v>639</v>
      </c>
      <c r="L119" t="s">
        <v>816</v>
      </c>
    </row>
    <row r="120" spans="1:12" x14ac:dyDescent="0.25">
      <c r="A120" t="s">
        <v>817</v>
      </c>
      <c r="B120" t="s">
        <v>818</v>
      </c>
      <c r="C120" t="s">
        <v>819</v>
      </c>
      <c r="D120" t="s">
        <v>442</v>
      </c>
      <c r="E120" t="s">
        <v>443</v>
      </c>
      <c r="F120" t="s">
        <v>444</v>
      </c>
      <c r="G120" t="s">
        <v>435</v>
      </c>
      <c r="H120" t="s">
        <v>445</v>
      </c>
      <c r="I120" t="s">
        <v>820</v>
      </c>
      <c r="K120" t="s">
        <v>438</v>
      </c>
      <c r="L120" t="s">
        <v>821</v>
      </c>
    </row>
    <row r="121" spans="1:12" x14ac:dyDescent="0.25">
      <c r="A121" t="s">
        <v>822</v>
      </c>
      <c r="B121" t="s">
        <v>823</v>
      </c>
      <c r="C121" t="s">
        <v>819</v>
      </c>
      <c r="D121" t="s">
        <v>824</v>
      </c>
      <c r="E121" t="s">
        <v>480</v>
      </c>
      <c r="F121" t="s">
        <v>444</v>
      </c>
      <c r="G121" t="s">
        <v>435</v>
      </c>
      <c r="I121" t="s">
        <v>825</v>
      </c>
      <c r="J121" s="44">
        <v>90</v>
      </c>
      <c r="K121" t="s">
        <v>438</v>
      </c>
      <c r="L121" t="s">
        <v>826</v>
      </c>
    </row>
    <row r="122" spans="1:12" s="46" customFormat="1" x14ac:dyDescent="0.25">
      <c r="A122" s="46" t="s">
        <v>766</v>
      </c>
      <c r="B122" s="46" t="s">
        <v>767</v>
      </c>
      <c r="C122" s="46" t="s">
        <v>827</v>
      </c>
      <c r="D122" s="46" t="s">
        <v>828</v>
      </c>
      <c r="E122" s="46" t="s">
        <v>443</v>
      </c>
      <c r="F122" s="46" t="s">
        <v>829</v>
      </c>
      <c r="G122" s="46" t="s">
        <v>435</v>
      </c>
      <c r="H122" s="46" t="s">
        <v>445</v>
      </c>
      <c r="I122" s="46" t="s">
        <v>830</v>
      </c>
      <c r="K122" s="46" t="s">
        <v>438</v>
      </c>
      <c r="L122" s="46" t="s">
        <v>831</v>
      </c>
    </row>
    <row r="123" spans="1:12" s="46" customFormat="1" x14ac:dyDescent="0.25">
      <c r="A123" s="46" t="s">
        <v>832</v>
      </c>
      <c r="B123" s="46" t="s">
        <v>833</v>
      </c>
      <c r="C123" s="46" t="s">
        <v>834</v>
      </c>
      <c r="D123" s="46" t="s">
        <v>835</v>
      </c>
      <c r="E123" s="46" t="s">
        <v>836</v>
      </c>
      <c r="F123" s="46" t="s">
        <v>837</v>
      </c>
      <c r="G123" s="46" t="s">
        <v>451</v>
      </c>
      <c r="H123" s="46" t="s">
        <v>436</v>
      </c>
      <c r="I123" s="46" t="s">
        <v>838</v>
      </c>
      <c r="J123" s="47">
        <v>15</v>
      </c>
      <c r="K123" s="46" t="s">
        <v>438</v>
      </c>
      <c r="L123" s="46" t="s">
        <v>839</v>
      </c>
    </row>
    <row r="124" spans="1:12" x14ac:dyDescent="0.25">
      <c r="A124" t="s">
        <v>840</v>
      </c>
      <c r="B124" t="s">
        <v>841</v>
      </c>
      <c r="C124" t="s">
        <v>842</v>
      </c>
      <c r="D124" t="s">
        <v>843</v>
      </c>
      <c r="E124" t="s">
        <v>844</v>
      </c>
      <c r="F124" t="s">
        <v>444</v>
      </c>
      <c r="G124" t="s">
        <v>435</v>
      </c>
      <c r="H124" t="s">
        <v>436</v>
      </c>
      <c r="I124" t="s">
        <v>845</v>
      </c>
      <c r="J124" s="44">
        <v>680</v>
      </c>
      <c r="K124" t="s">
        <v>438</v>
      </c>
      <c r="L124" t="s">
        <v>846</v>
      </c>
    </row>
    <row r="125" spans="1:12" s="46" customFormat="1" x14ac:dyDescent="0.25">
      <c r="A125" s="46" t="s">
        <v>847</v>
      </c>
      <c r="B125" s="46" t="s">
        <v>848</v>
      </c>
      <c r="C125" s="46" t="s">
        <v>842</v>
      </c>
      <c r="D125" s="46" t="s">
        <v>849</v>
      </c>
      <c r="E125" s="46" t="s">
        <v>504</v>
      </c>
      <c r="F125" s="46" t="s">
        <v>850</v>
      </c>
      <c r="G125" s="46" t="s">
        <v>451</v>
      </c>
      <c r="H125" s="46" t="s">
        <v>436</v>
      </c>
      <c r="I125" s="46" t="s">
        <v>851</v>
      </c>
      <c r="J125" s="47">
        <v>6</v>
      </c>
      <c r="K125" s="46" t="s">
        <v>438</v>
      </c>
      <c r="L125" s="46" t="s">
        <v>852</v>
      </c>
    </row>
    <row r="126" spans="1:12" s="46" customFormat="1" x14ac:dyDescent="0.25">
      <c r="A126" s="46" t="s">
        <v>863</v>
      </c>
      <c r="B126" s="46" t="s">
        <v>864</v>
      </c>
      <c r="C126" s="46" t="s">
        <v>855</v>
      </c>
      <c r="D126" s="46" t="s">
        <v>865</v>
      </c>
      <c r="E126" s="46" t="s">
        <v>513</v>
      </c>
      <c r="F126" s="46" t="s">
        <v>869</v>
      </c>
      <c r="G126" s="46" t="s">
        <v>435</v>
      </c>
      <c r="H126" s="46" t="s">
        <v>445</v>
      </c>
      <c r="I126" s="46" t="s">
        <v>870</v>
      </c>
      <c r="J126" s="47">
        <v>80</v>
      </c>
      <c r="K126" s="46" t="s">
        <v>438</v>
      </c>
      <c r="L126" s="46" t="s">
        <v>868</v>
      </c>
    </row>
    <row r="127" spans="1:12" x14ac:dyDescent="0.25">
      <c r="A127" t="s">
        <v>859</v>
      </c>
      <c r="B127" t="s">
        <v>860</v>
      </c>
      <c r="C127" t="s">
        <v>855</v>
      </c>
      <c r="D127" t="s">
        <v>442</v>
      </c>
      <c r="E127" t="s">
        <v>443</v>
      </c>
      <c r="F127" t="s">
        <v>444</v>
      </c>
      <c r="G127" t="s">
        <v>435</v>
      </c>
      <c r="H127" t="s">
        <v>445</v>
      </c>
      <c r="I127" t="s">
        <v>861</v>
      </c>
      <c r="J127" s="44">
        <v>30</v>
      </c>
      <c r="K127" t="s">
        <v>438</v>
      </c>
      <c r="L127" t="s">
        <v>862</v>
      </c>
    </row>
    <row r="128" spans="1:12" x14ac:dyDescent="0.25">
      <c r="A128" t="s">
        <v>853</v>
      </c>
      <c r="B128" t="s">
        <v>854</v>
      </c>
      <c r="C128" t="s">
        <v>855</v>
      </c>
      <c r="D128" t="s">
        <v>856</v>
      </c>
      <c r="E128" t="s">
        <v>787</v>
      </c>
      <c r="F128" t="s">
        <v>444</v>
      </c>
      <c r="G128" t="s">
        <v>435</v>
      </c>
      <c r="H128" t="s">
        <v>445</v>
      </c>
      <c r="I128" t="s">
        <v>857</v>
      </c>
      <c r="K128" t="s">
        <v>438</v>
      </c>
      <c r="L128" t="s">
        <v>858</v>
      </c>
    </row>
    <row r="129" spans="1:12" x14ac:dyDescent="0.25">
      <c r="A129" t="s">
        <v>863</v>
      </c>
      <c r="B129" t="s">
        <v>864</v>
      </c>
      <c r="C129" t="s">
        <v>855</v>
      </c>
      <c r="D129" t="s">
        <v>865</v>
      </c>
      <c r="E129" t="s">
        <v>557</v>
      </c>
      <c r="F129" t="s">
        <v>866</v>
      </c>
      <c r="G129" t="s">
        <v>471</v>
      </c>
      <c r="H129" t="s">
        <v>445</v>
      </c>
      <c r="I129" t="s">
        <v>867</v>
      </c>
      <c r="J129" s="44">
        <v>200</v>
      </c>
      <c r="K129" t="s">
        <v>438</v>
      </c>
      <c r="L129" t="s">
        <v>868</v>
      </c>
    </row>
    <row r="130" spans="1:12" x14ac:dyDescent="0.25">
      <c r="A130" t="s">
        <v>871</v>
      </c>
      <c r="B130" t="s">
        <v>872</v>
      </c>
      <c r="C130" t="s">
        <v>855</v>
      </c>
      <c r="D130" t="s">
        <v>432</v>
      </c>
      <c r="E130" t="s">
        <v>873</v>
      </c>
      <c r="F130" t="s">
        <v>444</v>
      </c>
      <c r="G130" t="s">
        <v>435</v>
      </c>
      <c r="H130" t="s">
        <v>436</v>
      </c>
      <c r="I130" t="s">
        <v>874</v>
      </c>
      <c r="K130" t="s">
        <v>438</v>
      </c>
      <c r="L130" t="s">
        <v>875</v>
      </c>
    </row>
    <row r="131" spans="1:12" x14ac:dyDescent="0.25">
      <c r="A131" t="s">
        <v>871</v>
      </c>
      <c r="B131" t="s">
        <v>872</v>
      </c>
      <c r="C131" t="s">
        <v>855</v>
      </c>
      <c r="D131" t="s">
        <v>432</v>
      </c>
      <c r="E131" t="s">
        <v>873</v>
      </c>
      <c r="F131" t="s">
        <v>444</v>
      </c>
      <c r="G131" t="s">
        <v>435</v>
      </c>
      <c r="H131" t="s">
        <v>436</v>
      </c>
      <c r="I131" t="s">
        <v>876</v>
      </c>
      <c r="K131" t="s">
        <v>438</v>
      </c>
      <c r="L131" t="s">
        <v>875</v>
      </c>
    </row>
    <row r="132" spans="1:12" x14ac:dyDescent="0.25">
      <c r="A132" t="s">
        <v>871</v>
      </c>
      <c r="B132" t="s">
        <v>872</v>
      </c>
      <c r="C132" t="s">
        <v>855</v>
      </c>
      <c r="D132" t="s">
        <v>432</v>
      </c>
      <c r="E132" t="s">
        <v>873</v>
      </c>
      <c r="F132" t="s">
        <v>444</v>
      </c>
      <c r="G132" t="s">
        <v>435</v>
      </c>
      <c r="H132" t="s">
        <v>436</v>
      </c>
      <c r="I132" t="s">
        <v>877</v>
      </c>
      <c r="K132" t="s">
        <v>438</v>
      </c>
      <c r="L132" t="s">
        <v>875</v>
      </c>
    </row>
    <row r="133" spans="1:12" x14ac:dyDescent="0.25">
      <c r="A133" t="s">
        <v>878</v>
      </c>
      <c r="B133" t="s">
        <v>879</v>
      </c>
      <c r="C133" t="s">
        <v>880</v>
      </c>
      <c r="D133" t="s">
        <v>881</v>
      </c>
      <c r="E133" t="s">
        <v>480</v>
      </c>
      <c r="F133" t="s">
        <v>444</v>
      </c>
      <c r="G133" t="s">
        <v>435</v>
      </c>
      <c r="H133" t="s">
        <v>436</v>
      </c>
      <c r="I133" t="s">
        <v>882</v>
      </c>
      <c r="J133" s="44">
        <v>62</v>
      </c>
      <c r="K133" t="s">
        <v>438</v>
      </c>
      <c r="L133" t="s">
        <v>883</v>
      </c>
    </row>
    <row r="134" spans="1:12" x14ac:dyDescent="0.25">
      <c r="A134" t="s">
        <v>884</v>
      </c>
      <c r="B134" t="s">
        <v>885</v>
      </c>
      <c r="C134" t="s">
        <v>886</v>
      </c>
      <c r="D134" t="s">
        <v>887</v>
      </c>
      <c r="E134" t="s">
        <v>678</v>
      </c>
      <c r="F134" t="s">
        <v>444</v>
      </c>
      <c r="G134" t="s">
        <v>435</v>
      </c>
      <c r="H134" t="s">
        <v>436</v>
      </c>
      <c r="I134" t="s">
        <v>888</v>
      </c>
      <c r="J134" s="44">
        <v>35</v>
      </c>
      <c r="K134" t="s">
        <v>438</v>
      </c>
      <c r="L134" t="s">
        <v>889</v>
      </c>
    </row>
    <row r="135" spans="1:12" x14ac:dyDescent="0.25">
      <c r="A135" t="s">
        <v>896</v>
      </c>
      <c r="B135" t="s">
        <v>897</v>
      </c>
      <c r="C135" t="s">
        <v>892</v>
      </c>
      <c r="D135" t="s">
        <v>898</v>
      </c>
      <c r="E135" t="s">
        <v>443</v>
      </c>
      <c r="F135" t="s">
        <v>444</v>
      </c>
      <c r="G135" t="s">
        <v>435</v>
      </c>
      <c r="H135" t="s">
        <v>436</v>
      </c>
      <c r="I135" t="s">
        <v>899</v>
      </c>
      <c r="J135" s="44">
        <v>30</v>
      </c>
      <c r="K135" t="s">
        <v>438</v>
      </c>
      <c r="L135" t="s">
        <v>900</v>
      </c>
    </row>
    <row r="136" spans="1:12" x14ac:dyDescent="0.25">
      <c r="A136" t="s">
        <v>890</v>
      </c>
      <c r="B136" t="s">
        <v>891</v>
      </c>
      <c r="C136" t="s">
        <v>892</v>
      </c>
      <c r="D136" t="s">
        <v>893</v>
      </c>
      <c r="E136" t="s">
        <v>557</v>
      </c>
      <c r="F136" t="s">
        <v>444</v>
      </c>
      <c r="G136" t="s">
        <v>435</v>
      </c>
      <c r="H136" t="s">
        <v>436</v>
      </c>
      <c r="I136" t="s">
        <v>894</v>
      </c>
      <c r="J136" s="44">
        <v>10</v>
      </c>
      <c r="K136" t="s">
        <v>438</v>
      </c>
      <c r="L136" t="s">
        <v>895</v>
      </c>
    </row>
    <row r="137" spans="1:12" x14ac:dyDescent="0.25">
      <c r="A137" t="s">
        <v>901</v>
      </c>
      <c r="B137" t="s">
        <v>902</v>
      </c>
      <c r="C137" t="s">
        <v>903</v>
      </c>
      <c r="D137" t="s">
        <v>904</v>
      </c>
      <c r="E137" t="s">
        <v>443</v>
      </c>
      <c r="F137" t="s">
        <v>444</v>
      </c>
      <c r="G137" t="s">
        <v>435</v>
      </c>
      <c r="H137" t="s">
        <v>445</v>
      </c>
      <c r="I137" t="s">
        <v>905</v>
      </c>
      <c r="K137" t="s">
        <v>438</v>
      </c>
      <c r="L137" t="s">
        <v>906</v>
      </c>
    </row>
    <row r="142" spans="1:12" s="46" customFormat="1" ht="14.25" customHeight="1" x14ac:dyDescent="0.25">
      <c r="A142" s="46" t="s">
        <v>863</v>
      </c>
      <c r="B142" s="46" t="s">
        <v>864</v>
      </c>
      <c r="C142" s="46" t="s">
        <v>855</v>
      </c>
      <c r="D142" s="46" t="s">
        <v>865</v>
      </c>
      <c r="E142" s="46" t="s">
        <v>513</v>
      </c>
      <c r="F142" s="46" t="s">
        <v>869</v>
      </c>
      <c r="G142" s="46" t="s">
        <v>435</v>
      </c>
      <c r="H142" s="46" t="s">
        <v>445</v>
      </c>
      <c r="I142" s="46" t="s">
        <v>870</v>
      </c>
      <c r="J142" s="47">
        <v>80</v>
      </c>
      <c r="K142" s="46" t="s">
        <v>438</v>
      </c>
      <c r="L142" s="46" t="s">
        <v>868</v>
      </c>
    </row>
    <row r="143" spans="1:12" s="46" customFormat="1" x14ac:dyDescent="0.25">
      <c r="A143" s="46" t="s">
        <v>674</v>
      </c>
      <c r="B143" s="46" t="s">
        <v>675</v>
      </c>
      <c r="C143" s="46" t="s">
        <v>664</v>
      </c>
      <c r="D143" s="46" t="s">
        <v>518</v>
      </c>
      <c r="E143" s="46" t="s">
        <v>678</v>
      </c>
      <c r="F143" s="46" t="s">
        <v>679</v>
      </c>
      <c r="G143" s="46" t="s">
        <v>435</v>
      </c>
      <c r="H143" s="46" t="s">
        <v>436</v>
      </c>
      <c r="I143" s="46" t="s">
        <v>680</v>
      </c>
      <c r="K143" s="46" t="s">
        <v>438</v>
      </c>
      <c r="L143" s="46" t="s">
        <v>681</v>
      </c>
    </row>
    <row r="144" spans="1:12" s="46" customFormat="1" x14ac:dyDescent="0.25">
      <c r="A144" s="46" t="s">
        <v>847</v>
      </c>
      <c r="B144" s="46" t="s">
        <v>848</v>
      </c>
      <c r="C144" s="46" t="s">
        <v>842</v>
      </c>
      <c r="D144" s="46" t="s">
        <v>849</v>
      </c>
      <c r="E144" s="46" t="s">
        <v>504</v>
      </c>
      <c r="F144" s="46" t="s">
        <v>850</v>
      </c>
      <c r="G144" s="46" t="s">
        <v>451</v>
      </c>
      <c r="H144" s="46" t="s">
        <v>436</v>
      </c>
      <c r="I144" s="46" t="s">
        <v>851</v>
      </c>
      <c r="J144" s="47">
        <v>6</v>
      </c>
      <c r="K144" s="46" t="s">
        <v>438</v>
      </c>
      <c r="L144" s="46" t="s">
        <v>852</v>
      </c>
    </row>
    <row r="145" spans="1:12" s="46" customFormat="1" x14ac:dyDescent="0.25">
      <c r="A145" s="46" t="s">
        <v>832</v>
      </c>
      <c r="B145" s="46" t="s">
        <v>833</v>
      </c>
      <c r="C145" s="46" t="s">
        <v>834</v>
      </c>
      <c r="D145" s="46" t="s">
        <v>835</v>
      </c>
      <c r="E145" s="46" t="s">
        <v>836</v>
      </c>
      <c r="F145" s="46" t="s">
        <v>837</v>
      </c>
      <c r="G145" s="46" t="s">
        <v>451</v>
      </c>
      <c r="H145" s="46" t="s">
        <v>436</v>
      </c>
      <c r="I145" s="46" t="s">
        <v>838</v>
      </c>
      <c r="J145" s="47">
        <v>15</v>
      </c>
      <c r="K145" s="46" t="s">
        <v>438</v>
      </c>
      <c r="L145" s="46" t="s">
        <v>839</v>
      </c>
    </row>
    <row r="146" spans="1:12" s="46" customFormat="1" x14ac:dyDescent="0.25">
      <c r="A146" s="48" t="s">
        <v>674</v>
      </c>
      <c r="B146" s="48" t="s">
        <v>675</v>
      </c>
      <c r="C146" s="48" t="s">
        <v>664</v>
      </c>
      <c r="D146" s="48" t="s">
        <v>682</v>
      </c>
      <c r="E146" s="48" t="s">
        <v>575</v>
      </c>
      <c r="F146" s="48" t="s">
        <v>683</v>
      </c>
      <c r="G146" s="48" t="s">
        <v>435</v>
      </c>
      <c r="H146" s="48" t="s">
        <v>436</v>
      </c>
      <c r="I146" s="48" t="s">
        <v>684</v>
      </c>
      <c r="J146" s="49">
        <v>200</v>
      </c>
      <c r="K146" s="48" t="s">
        <v>438</v>
      </c>
      <c r="L146" s="48" t="s">
        <v>681</v>
      </c>
    </row>
    <row r="147" spans="1:12" s="46" customFormat="1" x14ac:dyDescent="0.25">
      <c r="A147" s="48" t="s">
        <v>928</v>
      </c>
      <c r="B147" s="48" t="s">
        <v>929</v>
      </c>
      <c r="C147" s="48" t="s">
        <v>912</v>
      </c>
      <c r="D147" s="48" t="s">
        <v>682</v>
      </c>
      <c r="E147" s="48" t="s">
        <v>930</v>
      </c>
      <c r="F147" s="48" t="s">
        <v>931</v>
      </c>
      <c r="G147" s="48" t="s">
        <v>435</v>
      </c>
      <c r="H147" s="48" t="s">
        <v>436</v>
      </c>
      <c r="I147" s="48" t="s">
        <v>932</v>
      </c>
      <c r="J147" s="49">
        <v>48</v>
      </c>
      <c r="K147" s="48" t="s">
        <v>438</v>
      </c>
      <c r="L147" s="48" t="s">
        <v>933</v>
      </c>
    </row>
    <row r="148" spans="1:12" s="48" customFormat="1" x14ac:dyDescent="0.25">
      <c r="A148" s="48" t="s">
        <v>469</v>
      </c>
      <c r="B148" s="48" t="s">
        <v>470</v>
      </c>
      <c r="C148" s="48" t="s">
        <v>912</v>
      </c>
      <c r="D148" s="48" t="s">
        <v>682</v>
      </c>
      <c r="E148" s="48" t="s">
        <v>461</v>
      </c>
      <c r="F148" s="48" t="s">
        <v>618</v>
      </c>
      <c r="G148" s="48" t="s">
        <v>435</v>
      </c>
      <c r="H148" s="48" t="s">
        <v>436</v>
      </c>
      <c r="I148" s="48" t="s">
        <v>619</v>
      </c>
      <c r="J148" s="49">
        <v>80</v>
      </c>
      <c r="K148" s="48" t="s">
        <v>438</v>
      </c>
      <c r="L148" s="48" t="s">
        <v>473</v>
      </c>
    </row>
    <row r="149" spans="1:12" s="46" customFormat="1" x14ac:dyDescent="0.25">
      <c r="A149" s="48" t="s">
        <v>469</v>
      </c>
      <c r="B149" s="48" t="s">
        <v>470</v>
      </c>
      <c r="C149" s="48" t="s">
        <v>912</v>
      </c>
      <c r="D149" s="48" t="s">
        <v>682</v>
      </c>
      <c r="E149" s="48" t="s">
        <v>545</v>
      </c>
      <c r="F149" s="48" t="s">
        <v>914</v>
      </c>
      <c r="G149" s="48" t="s">
        <v>435</v>
      </c>
      <c r="H149" s="48" t="s">
        <v>436</v>
      </c>
      <c r="I149" s="48" t="s">
        <v>913</v>
      </c>
      <c r="J149" s="49">
        <v>100</v>
      </c>
      <c r="K149" s="48" t="s">
        <v>438</v>
      </c>
      <c r="L149" s="48" t="s">
        <v>473</v>
      </c>
    </row>
    <row r="150" spans="1:12" s="46" customFormat="1" x14ac:dyDescent="0.25">
      <c r="A150" s="46" t="s">
        <v>719</v>
      </c>
      <c r="B150" s="46" t="s">
        <v>720</v>
      </c>
      <c r="C150" s="46" t="s">
        <v>664</v>
      </c>
      <c r="D150" s="46" t="s">
        <v>512</v>
      </c>
      <c r="E150" s="46" t="s">
        <v>513</v>
      </c>
      <c r="F150" s="46" t="s">
        <v>721</v>
      </c>
      <c r="G150" s="46" t="s">
        <v>451</v>
      </c>
      <c r="H150" s="46" t="s">
        <v>436</v>
      </c>
      <c r="I150" s="46" t="s">
        <v>722</v>
      </c>
      <c r="J150" s="47">
        <v>13</v>
      </c>
      <c r="K150" s="46" t="s">
        <v>438</v>
      </c>
      <c r="L150" s="46" t="s">
        <v>723</v>
      </c>
    </row>
    <row r="151" spans="1:12" s="46" customFormat="1" x14ac:dyDescent="0.25">
      <c r="A151" s="46" t="s">
        <v>573</v>
      </c>
      <c r="B151" s="46" t="s">
        <v>574</v>
      </c>
      <c r="C151" s="46" t="s">
        <v>551</v>
      </c>
      <c r="D151" s="46" t="s">
        <v>556</v>
      </c>
      <c r="E151" s="46" t="s">
        <v>575</v>
      </c>
      <c r="F151" s="46" t="s">
        <v>576</v>
      </c>
      <c r="G151" s="46" t="s">
        <v>435</v>
      </c>
      <c r="H151" s="46" t="s">
        <v>436</v>
      </c>
      <c r="I151" s="46" t="s">
        <v>577</v>
      </c>
      <c r="J151" s="47">
        <v>20</v>
      </c>
      <c r="K151" s="46" t="s">
        <v>438</v>
      </c>
      <c r="L151" s="46" t="s">
        <v>578</v>
      </c>
    </row>
    <row r="152" spans="1:12" s="46" customFormat="1" x14ac:dyDescent="0.25">
      <c r="A152" s="46" t="s">
        <v>469</v>
      </c>
      <c r="B152" s="46" t="s">
        <v>470</v>
      </c>
      <c r="C152" s="46" t="s">
        <v>583</v>
      </c>
      <c r="D152" s="46" t="s">
        <v>556</v>
      </c>
      <c r="E152" s="46" t="s">
        <v>461</v>
      </c>
      <c r="F152" s="46" t="s">
        <v>618</v>
      </c>
      <c r="G152" s="46" t="s">
        <v>435</v>
      </c>
      <c r="H152" s="46" t="s">
        <v>436</v>
      </c>
      <c r="I152" s="46" t="s">
        <v>619</v>
      </c>
      <c r="J152" s="47">
        <v>80</v>
      </c>
      <c r="K152" s="46" t="s">
        <v>438</v>
      </c>
      <c r="L152" s="46" t="s">
        <v>473</v>
      </c>
    </row>
    <row r="153" spans="1:12" s="48" customFormat="1" x14ac:dyDescent="0.25">
      <c r="A153" s="46" t="s">
        <v>526</v>
      </c>
      <c r="B153" s="46" t="s">
        <v>527</v>
      </c>
      <c r="C153" s="46" t="s">
        <v>511</v>
      </c>
      <c r="D153" s="46" t="s">
        <v>528</v>
      </c>
      <c r="E153" s="46" t="s">
        <v>529</v>
      </c>
      <c r="F153" s="46" t="s">
        <v>534</v>
      </c>
      <c r="G153" s="46" t="s">
        <v>451</v>
      </c>
      <c r="H153" s="46" t="s">
        <v>436</v>
      </c>
      <c r="I153" s="46" t="s">
        <v>535</v>
      </c>
      <c r="J153" s="47">
        <v>40</v>
      </c>
      <c r="K153" s="46" t="s">
        <v>438</v>
      </c>
      <c r="L153" s="46" t="s">
        <v>536</v>
      </c>
    </row>
    <row r="154" spans="1:12" s="48" customFormat="1" x14ac:dyDescent="0.25">
      <c r="A154" s="46" t="s">
        <v>543</v>
      </c>
      <c r="B154" s="46" t="s">
        <v>544</v>
      </c>
      <c r="C154" s="46" t="s">
        <v>511</v>
      </c>
      <c r="D154" s="46" t="s">
        <v>528</v>
      </c>
      <c r="E154" s="46" t="s">
        <v>545</v>
      </c>
      <c r="F154" s="46" t="s">
        <v>546</v>
      </c>
      <c r="G154" s="46" t="s">
        <v>435</v>
      </c>
      <c r="H154" s="46" t="s">
        <v>445</v>
      </c>
      <c r="I154" s="46" t="s">
        <v>547</v>
      </c>
      <c r="J154" s="47">
        <v>27</v>
      </c>
      <c r="K154" s="46" t="s">
        <v>438</v>
      </c>
      <c r="L154" s="46" t="s">
        <v>548</v>
      </c>
    </row>
    <row r="155" spans="1:12" s="48" customFormat="1" x14ac:dyDescent="0.25">
      <c r="A155" s="46" t="s">
        <v>537</v>
      </c>
      <c r="B155" s="46" t="s">
        <v>538</v>
      </c>
      <c r="C155" s="46" t="s">
        <v>664</v>
      </c>
      <c r="D155" s="46" t="s">
        <v>528</v>
      </c>
      <c r="E155" s="46" t="s">
        <v>539</v>
      </c>
      <c r="F155" s="46" t="s">
        <v>704</v>
      </c>
      <c r="G155" s="46" t="s">
        <v>435</v>
      </c>
      <c r="H155" s="46" t="s">
        <v>436</v>
      </c>
      <c r="I155" s="46" t="s">
        <v>705</v>
      </c>
      <c r="J155" s="47">
        <v>25</v>
      </c>
      <c r="K155" s="46" t="s">
        <v>438</v>
      </c>
      <c r="L155" s="46" t="s">
        <v>542</v>
      </c>
    </row>
    <row r="156" spans="1:12" s="46" customFormat="1" x14ac:dyDescent="0.25">
      <c r="A156" s="46" t="s">
        <v>662</v>
      </c>
      <c r="B156" s="46" t="s">
        <v>663</v>
      </c>
      <c r="C156" s="46" t="s">
        <v>664</v>
      </c>
      <c r="D156" s="46" t="s">
        <v>489</v>
      </c>
      <c r="E156" s="46" t="s">
        <v>529</v>
      </c>
      <c r="F156" s="46" t="s">
        <v>665</v>
      </c>
      <c r="G156" s="46" t="s">
        <v>435</v>
      </c>
      <c r="H156" s="46" t="s">
        <v>436</v>
      </c>
      <c r="I156" s="46" t="s">
        <v>666</v>
      </c>
      <c r="J156" s="47">
        <v>800</v>
      </c>
      <c r="K156" s="46" t="s">
        <v>438</v>
      </c>
      <c r="L156" s="46" t="s">
        <v>667</v>
      </c>
    </row>
    <row r="157" spans="1:12" s="46" customFormat="1" x14ac:dyDescent="0.25">
      <c r="A157" s="46" t="s">
        <v>668</v>
      </c>
      <c r="B157" s="46" t="s">
        <v>669</v>
      </c>
      <c r="C157" s="46" t="s">
        <v>664</v>
      </c>
      <c r="D157" s="46" t="s">
        <v>670</v>
      </c>
      <c r="E157" s="46" t="s">
        <v>480</v>
      </c>
      <c r="F157" s="46" t="s">
        <v>671</v>
      </c>
      <c r="G157" s="46" t="s">
        <v>435</v>
      </c>
      <c r="H157" s="46" t="s">
        <v>436</v>
      </c>
      <c r="I157" s="46" t="s">
        <v>672</v>
      </c>
      <c r="J157" s="47">
        <v>20</v>
      </c>
      <c r="K157" s="46" t="s">
        <v>438</v>
      </c>
      <c r="L157" s="46" t="s">
        <v>673</v>
      </c>
    </row>
    <row r="158" spans="1:12" s="46" customFormat="1" x14ac:dyDescent="0.25">
      <c r="A158" s="46" t="s">
        <v>766</v>
      </c>
      <c r="B158" s="46" t="s">
        <v>767</v>
      </c>
      <c r="C158" s="46" t="s">
        <v>827</v>
      </c>
      <c r="D158" s="46" t="s">
        <v>828</v>
      </c>
      <c r="E158" s="46" t="s">
        <v>443</v>
      </c>
      <c r="F158" s="46" t="s">
        <v>829</v>
      </c>
      <c r="G158" s="46" t="s">
        <v>435</v>
      </c>
      <c r="H158" s="46" t="s">
        <v>445</v>
      </c>
      <c r="I158" s="46" t="s">
        <v>830</v>
      </c>
      <c r="K158" s="46" t="s">
        <v>438</v>
      </c>
      <c r="L158" s="46" t="s">
        <v>831</v>
      </c>
    </row>
    <row r="159" spans="1:12" s="46" customFormat="1" x14ac:dyDescent="0.25">
      <c r="A159" s="46" t="s">
        <v>581</v>
      </c>
      <c r="B159" s="46" t="s">
        <v>582</v>
      </c>
      <c r="C159" s="46" t="s">
        <v>583</v>
      </c>
      <c r="D159" s="46" t="s">
        <v>442</v>
      </c>
      <c r="E159" s="46" t="s">
        <v>584</v>
      </c>
      <c r="F159" s="46" t="s">
        <v>585</v>
      </c>
      <c r="G159" s="46" t="s">
        <v>435</v>
      </c>
      <c r="H159" s="46" t="s">
        <v>445</v>
      </c>
      <c r="I159" s="46" t="s">
        <v>586</v>
      </c>
      <c r="J159" s="47">
        <v>46</v>
      </c>
      <c r="K159" s="46" t="s">
        <v>438</v>
      </c>
      <c r="L159" s="46" t="s">
        <v>587</v>
      </c>
    </row>
    <row r="173" spans="6:7" x14ac:dyDescent="0.25">
      <c r="F173">
        <v>50000</v>
      </c>
      <c r="G173">
        <v>1800</v>
      </c>
    </row>
  </sheetData>
  <sortState xmlns:xlrd2="http://schemas.microsoft.com/office/spreadsheetml/2017/richdata2" ref="A142:L159">
    <sortCondition ref="D142:D1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QDai_2018_GREET</vt:lpstr>
      <vt:lpstr>Owinjobi_2020_GREET</vt:lpstr>
      <vt:lpstr>FHanna</vt:lpstr>
      <vt:lpstr>Greet 2024</vt:lpstr>
      <vt:lpstr>Greet steel, aluminum, copper</vt:lpstr>
      <vt:lpstr>Greet 2024 Recycling</vt:lpstr>
      <vt:lpstr>MSEC Tables</vt:lpstr>
      <vt:lpstr>Sheet1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Srinivasan</dc:creator>
  <cp:lastModifiedBy>Lakshmi Srinivasan</cp:lastModifiedBy>
  <dcterms:created xsi:type="dcterms:W3CDTF">2025-11-04T22:52:52Z</dcterms:created>
  <dcterms:modified xsi:type="dcterms:W3CDTF">2025-11-13T05:34:17Z</dcterms:modified>
</cp:coreProperties>
</file>