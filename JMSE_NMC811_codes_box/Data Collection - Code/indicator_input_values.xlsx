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RPA-E\MSEC_2026\JMSE_NMC811_codes_box\Data Collection - Code\"/>
    </mc:Choice>
  </mc:AlternateContent>
  <xr:revisionPtr revIDLastSave="0" documentId="13_ncr:1_{438DF524-9B30-4C95-B1C4-27C50D598A5F}" xr6:coauthVersionLast="47" xr6:coauthVersionMax="47" xr10:uidLastSave="{00000000-0000-0000-0000-000000000000}"/>
  <bookViews>
    <workbookView xWindow="-120" yWindow="-120" windowWidth="29040" windowHeight="17520" activeTab="3" xr2:uid="{00000000-000D-0000-FFFF-FFFF00000000}"/>
  </bookViews>
  <sheets>
    <sheet name="PCI_inputs" sheetId="1" r:id="rId1"/>
    <sheet name="CI_inputs " sheetId="2" r:id="rId2"/>
    <sheet name="CEI_inputs" sheetId="3" r:id="rId3"/>
    <sheet name="ECPI_indicator_correcte" sheetId="6" r:id="rId4"/>
    <sheet name="ECPI_indicator" sheetId="4" r:id="rId5"/>
    <sheet name="MRE_indicator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6" l="1"/>
  <c r="U9" i="6"/>
  <c r="B105" i="6"/>
  <c r="B103" i="6"/>
  <c r="B102" i="6"/>
  <c r="B101" i="6"/>
  <c r="B100" i="6"/>
  <c r="B99" i="6"/>
  <c r="W80" i="6"/>
  <c r="P71" i="6"/>
  <c r="Q68" i="6"/>
  <c r="Q67" i="6"/>
  <c r="Q66" i="6"/>
  <c r="Q65" i="6"/>
  <c r="Q64" i="6"/>
  <c r="Q63" i="6"/>
  <c r="Q62" i="6"/>
  <c r="P59" i="6"/>
  <c r="C59" i="6"/>
  <c r="K58" i="6"/>
  <c r="S55" i="6"/>
  <c r="P55" i="6"/>
  <c r="C55" i="6"/>
  <c r="K54" i="6"/>
  <c r="C54" i="6"/>
  <c r="K53" i="6"/>
  <c r="C53" i="6"/>
  <c r="C52" i="6"/>
  <c r="B49" i="6"/>
  <c r="B48" i="6"/>
  <c r="B47" i="6"/>
  <c r="B46" i="6"/>
  <c r="AB45" i="6"/>
  <c r="AA45" i="6"/>
  <c r="Z45" i="6"/>
  <c r="Y45" i="6"/>
  <c r="X45" i="6"/>
  <c r="W45" i="6"/>
  <c r="B45" i="6"/>
  <c r="S43" i="6"/>
  <c r="R43" i="6"/>
  <c r="Q43" i="6"/>
  <c r="P43" i="6"/>
  <c r="B25" i="6"/>
  <c r="C24" i="6"/>
  <c r="H23" i="6"/>
  <c r="C23" i="6"/>
  <c r="H22" i="6"/>
  <c r="C22" i="6"/>
  <c r="H21" i="6"/>
  <c r="C21" i="6"/>
  <c r="H20" i="6"/>
  <c r="C20" i="6"/>
  <c r="H19" i="6"/>
  <c r="C19" i="6"/>
  <c r="H18" i="6"/>
  <c r="C18" i="6"/>
  <c r="H17" i="6"/>
  <c r="C17" i="6"/>
  <c r="H16" i="6"/>
  <c r="C16" i="6"/>
  <c r="I15" i="6"/>
  <c r="H15" i="6"/>
  <c r="C15" i="6"/>
  <c r="C14" i="6"/>
  <c r="C13" i="6"/>
  <c r="T12" i="6"/>
  <c r="C12" i="6"/>
  <c r="F11" i="6"/>
  <c r="C11" i="6"/>
  <c r="C10" i="6"/>
  <c r="R9" i="6"/>
  <c r="P9" i="6"/>
  <c r="I9" i="6"/>
  <c r="C9" i="6"/>
  <c r="O8" i="6"/>
  <c r="I8" i="6"/>
  <c r="C8" i="6"/>
  <c r="O7" i="6"/>
  <c r="I7" i="6"/>
  <c r="C7" i="6"/>
  <c r="O6" i="6"/>
  <c r="I6" i="6"/>
  <c r="F6" i="6"/>
  <c r="C6" i="6"/>
  <c r="O5" i="6"/>
  <c r="I5" i="6"/>
  <c r="C5" i="6"/>
  <c r="W4" i="6"/>
  <c r="O4" i="6"/>
  <c r="O3" i="6"/>
  <c r="U4" i="4"/>
  <c r="U9" i="4"/>
  <c r="U5" i="4"/>
  <c r="U6" i="4"/>
  <c r="U3" i="4"/>
  <c r="S55" i="4"/>
  <c r="S3" i="4"/>
  <c r="Q62" i="4"/>
  <c r="B105" i="4"/>
  <c r="B103" i="4"/>
  <c r="B102" i="4"/>
  <c r="B101" i="4"/>
  <c r="B100" i="4"/>
  <c r="B99" i="4"/>
  <c r="W80" i="4"/>
  <c r="P71" i="4"/>
  <c r="Q68" i="4"/>
  <c r="Q67" i="4"/>
  <c r="Q66" i="4"/>
  <c r="Q65" i="4"/>
  <c r="Q64" i="4"/>
  <c r="Q63" i="4"/>
  <c r="C59" i="4"/>
  <c r="K58" i="4"/>
  <c r="C55" i="4"/>
  <c r="K54" i="4"/>
  <c r="C54" i="4"/>
  <c r="K53" i="4"/>
  <c r="C53" i="4"/>
  <c r="C52" i="4"/>
  <c r="B49" i="4"/>
  <c r="B48" i="4"/>
  <c r="B47" i="4"/>
  <c r="B46" i="4"/>
  <c r="AB45" i="4"/>
  <c r="AA45" i="4"/>
  <c r="Z45" i="4"/>
  <c r="Y45" i="4"/>
  <c r="X45" i="4"/>
  <c r="W45" i="4"/>
  <c r="B45" i="4"/>
  <c r="S43" i="4"/>
  <c r="R43" i="4"/>
  <c r="Q43" i="4"/>
  <c r="P43" i="4"/>
  <c r="B25" i="4"/>
  <c r="C24" i="4"/>
  <c r="H23" i="4"/>
  <c r="C23" i="4"/>
  <c r="H22" i="4"/>
  <c r="C22" i="4"/>
  <c r="H21" i="4"/>
  <c r="C21" i="4"/>
  <c r="H20" i="4"/>
  <c r="C20" i="4"/>
  <c r="H19" i="4"/>
  <c r="C19" i="4"/>
  <c r="H18" i="4"/>
  <c r="C18" i="4"/>
  <c r="H17" i="4"/>
  <c r="C17" i="4"/>
  <c r="H16" i="4"/>
  <c r="C16" i="4"/>
  <c r="I15" i="4"/>
  <c r="H15" i="4"/>
  <c r="C15" i="4"/>
  <c r="C14" i="4"/>
  <c r="C13" i="4"/>
  <c r="T12" i="4"/>
  <c r="C12" i="4"/>
  <c r="F11" i="4"/>
  <c r="C11" i="4"/>
  <c r="C10" i="4"/>
  <c r="R9" i="4"/>
  <c r="P9" i="4"/>
  <c r="I9" i="4"/>
  <c r="C9" i="4"/>
  <c r="O8" i="4"/>
  <c r="I8" i="4"/>
  <c r="C8" i="4"/>
  <c r="O7" i="4"/>
  <c r="I7" i="4"/>
  <c r="C7" i="4"/>
  <c r="O6" i="4"/>
  <c r="I6" i="4"/>
  <c r="F6" i="4"/>
  <c r="C6" i="4"/>
  <c r="O5" i="4"/>
  <c r="I5" i="4"/>
  <c r="C5" i="4"/>
  <c r="W4" i="4"/>
  <c r="O4" i="4"/>
  <c r="F4" i="4"/>
  <c r="O3" i="4"/>
  <c r="J31" i="3"/>
  <c r="Q29" i="3"/>
  <c r="P29" i="3"/>
  <c r="N28" i="3"/>
  <c r="N27" i="3"/>
  <c r="J27" i="3"/>
  <c r="N26" i="3"/>
  <c r="J26" i="3"/>
  <c r="Q25" i="3"/>
  <c r="P25" i="3"/>
  <c r="C25" i="3"/>
  <c r="Q24" i="3"/>
  <c r="P24" i="3"/>
  <c r="C24" i="3"/>
  <c r="N23" i="3"/>
  <c r="C23" i="3"/>
  <c r="C22" i="3"/>
  <c r="C21" i="3"/>
  <c r="C20" i="3"/>
  <c r="C19" i="3"/>
  <c r="C18" i="3"/>
  <c r="F17" i="3"/>
  <c r="C17" i="3"/>
  <c r="C16" i="3"/>
  <c r="C15" i="3"/>
  <c r="C14" i="3"/>
  <c r="C13" i="3"/>
  <c r="F12" i="3"/>
  <c r="C12" i="3"/>
  <c r="C11" i="3"/>
  <c r="I10" i="3"/>
  <c r="C10" i="3"/>
  <c r="I9" i="3"/>
  <c r="C9" i="3"/>
  <c r="I8" i="3"/>
  <c r="C8" i="3"/>
  <c r="I7" i="3"/>
  <c r="F7" i="3"/>
  <c r="C7" i="3"/>
  <c r="I6" i="3"/>
  <c r="C6" i="3"/>
  <c r="F5" i="3"/>
  <c r="C54" i="2"/>
  <c r="C53" i="2"/>
  <c r="C52" i="2"/>
  <c r="C51" i="2"/>
  <c r="C48" i="2"/>
  <c r="B48" i="2"/>
  <c r="C47" i="2"/>
  <c r="B47" i="2"/>
  <c r="B46" i="2"/>
  <c r="B45" i="2"/>
  <c r="B44" i="2"/>
  <c r="R25" i="2"/>
  <c r="B25" i="2"/>
  <c r="R24" i="2"/>
  <c r="C24" i="2"/>
  <c r="R23" i="2"/>
  <c r="C23" i="2"/>
  <c r="R22" i="2"/>
  <c r="C22" i="2"/>
  <c r="P21" i="2"/>
  <c r="C21" i="2"/>
  <c r="R20" i="2"/>
  <c r="C20" i="2"/>
  <c r="C19" i="2"/>
  <c r="C18" i="2"/>
  <c r="K17" i="2"/>
  <c r="C17" i="2"/>
  <c r="Q16" i="2"/>
  <c r="C16" i="2"/>
  <c r="C15" i="2"/>
  <c r="AE14" i="2"/>
  <c r="AD14" i="2"/>
  <c r="P14" i="2"/>
  <c r="C14" i="2"/>
  <c r="AE13" i="2"/>
  <c r="AD13" i="2"/>
  <c r="K13" i="2"/>
  <c r="C13" i="2"/>
  <c r="AE12" i="2"/>
  <c r="AD12" i="2"/>
  <c r="K12" i="2"/>
  <c r="C12" i="2"/>
  <c r="AE11" i="2"/>
  <c r="AD11" i="2"/>
  <c r="C11" i="2"/>
  <c r="AE10" i="2"/>
  <c r="AD10" i="2"/>
  <c r="C10" i="2"/>
  <c r="AE9" i="2"/>
  <c r="AD9" i="2"/>
  <c r="P9" i="2"/>
  <c r="C9" i="2"/>
  <c r="AE8" i="2"/>
  <c r="AD8" i="2"/>
  <c r="P8" i="2"/>
  <c r="C8" i="2"/>
  <c r="AE7" i="2"/>
  <c r="AD7" i="2"/>
  <c r="C7" i="2"/>
  <c r="AE6" i="2"/>
  <c r="AD6" i="2"/>
  <c r="H6" i="2"/>
  <c r="C6" i="2"/>
  <c r="P5" i="2"/>
  <c r="C5" i="2"/>
  <c r="P4" i="2"/>
  <c r="G3" i="2"/>
  <c r="AG43" i="1"/>
  <c r="AH38" i="1"/>
  <c r="AH32" i="1"/>
  <c r="AH31" i="1"/>
  <c r="J31" i="1"/>
  <c r="AH30" i="1"/>
  <c r="AH29" i="1"/>
  <c r="AH28" i="1"/>
  <c r="AH27" i="1"/>
  <c r="J27" i="1"/>
  <c r="AH26" i="1"/>
  <c r="J26" i="1"/>
  <c r="AH25" i="1"/>
  <c r="C25" i="1"/>
  <c r="C24" i="1"/>
  <c r="C23" i="1"/>
  <c r="O22" i="1"/>
  <c r="M22" i="1"/>
  <c r="C22" i="1"/>
  <c r="O21" i="1"/>
  <c r="M21" i="1"/>
  <c r="C21" i="1"/>
  <c r="AG20" i="1"/>
  <c r="O20" i="1"/>
  <c r="M20" i="1"/>
  <c r="C20" i="1"/>
  <c r="O19" i="1"/>
  <c r="M19" i="1"/>
  <c r="C19" i="1"/>
  <c r="O18" i="1"/>
  <c r="M18" i="1"/>
  <c r="C18" i="1"/>
  <c r="AG17" i="1"/>
  <c r="O17" i="1"/>
  <c r="M17" i="1"/>
  <c r="F17" i="1"/>
  <c r="C17" i="1"/>
  <c r="AG16" i="1"/>
  <c r="O16" i="1"/>
  <c r="M16" i="1"/>
  <c r="C16" i="1"/>
  <c r="AG15" i="1"/>
  <c r="C15" i="1"/>
  <c r="Q14" i="1"/>
  <c r="C14" i="1"/>
  <c r="C13" i="1"/>
  <c r="AG12" i="1"/>
  <c r="AD12" i="1"/>
  <c r="F12" i="1"/>
  <c r="C12" i="1"/>
  <c r="C11" i="1"/>
  <c r="I10" i="1"/>
  <c r="C10" i="1"/>
  <c r="AG9" i="1"/>
  <c r="I9" i="1"/>
  <c r="C9" i="1"/>
  <c r="AG8" i="1"/>
  <c r="I8" i="1"/>
  <c r="C8" i="1"/>
  <c r="AG7" i="1"/>
  <c r="AD7" i="1"/>
  <c r="I7" i="1"/>
  <c r="F7" i="1"/>
  <c r="C7" i="1"/>
  <c r="AG6" i="1"/>
  <c r="I6" i="1"/>
  <c r="C6" i="1"/>
  <c r="AD5" i="1"/>
  <c r="F5" i="1"/>
  <c r="AV59" i="5"/>
  <c r="AV54" i="5"/>
  <c r="AV53" i="5"/>
  <c r="AV49" i="5"/>
  <c r="R47" i="5"/>
  <c r="AV45" i="5"/>
  <c r="AX42" i="5"/>
  <c r="Q39" i="5"/>
  <c r="AM36" i="5"/>
  <c r="AF36" i="5"/>
  <c r="AM35" i="5"/>
  <c r="AF35" i="5"/>
  <c r="AF34" i="5"/>
  <c r="AM32" i="5"/>
  <c r="U32" i="5"/>
  <c r="S32" i="5"/>
  <c r="AM31" i="5"/>
  <c r="U31" i="5"/>
  <c r="S31" i="5"/>
  <c r="AM30" i="5"/>
  <c r="AF30" i="5"/>
  <c r="AE30" i="5"/>
  <c r="U30" i="5"/>
  <c r="S30" i="5"/>
  <c r="U29" i="5"/>
  <c r="S29" i="5"/>
  <c r="N29" i="5"/>
  <c r="U28" i="5"/>
  <c r="S28" i="5"/>
  <c r="AG27" i="5"/>
  <c r="U27" i="5"/>
  <c r="S27" i="5"/>
  <c r="AG26" i="5"/>
  <c r="U26" i="5"/>
  <c r="S26" i="5"/>
  <c r="B25" i="5"/>
  <c r="C24" i="5"/>
  <c r="AM23" i="5"/>
  <c r="C23" i="5"/>
  <c r="AM22" i="5"/>
  <c r="C22" i="5"/>
  <c r="C21" i="5"/>
  <c r="AS20" i="5"/>
  <c r="AQ20" i="5"/>
  <c r="C20" i="5"/>
  <c r="AS19" i="5"/>
  <c r="AQ19" i="5"/>
  <c r="C19" i="5"/>
  <c r="C18" i="5"/>
  <c r="C17" i="5"/>
  <c r="C16" i="5"/>
  <c r="C15" i="5"/>
  <c r="AM14" i="5"/>
  <c r="C14" i="5"/>
  <c r="AM13" i="5"/>
  <c r="C13" i="5"/>
  <c r="AM12" i="5"/>
  <c r="C12" i="5"/>
  <c r="AM11" i="5"/>
  <c r="F11" i="5"/>
  <c r="C11" i="5"/>
  <c r="AM10" i="5"/>
  <c r="C10" i="5"/>
  <c r="AM9" i="5"/>
  <c r="I9" i="5"/>
  <c r="C9" i="5"/>
  <c r="AM8" i="5"/>
  <c r="I8" i="5"/>
  <c r="C8" i="5"/>
  <c r="AM7" i="5"/>
  <c r="I7" i="5"/>
  <c r="C7" i="5"/>
  <c r="I6" i="5"/>
  <c r="F6" i="5"/>
  <c r="C6" i="5"/>
  <c r="J5" i="5"/>
  <c r="I5" i="5"/>
  <c r="C5" i="5"/>
  <c r="F4" i="5"/>
  <c r="Y3" i="5"/>
  <c r="S140" i="6" l="1"/>
  <c r="C80" i="6"/>
  <c r="C63" i="6" s="1"/>
  <c r="P77" i="6"/>
  <c r="Q69" i="6"/>
  <c r="R67" i="6"/>
  <c r="S54" i="6" s="1"/>
  <c r="R66" i="6"/>
  <c r="R65" i="6"/>
  <c r="R64" i="6"/>
  <c r="R63" i="6"/>
  <c r="T50" i="6" s="1"/>
  <c r="R62" i="6"/>
  <c r="L58" i="6"/>
  <c r="B56" i="6"/>
  <c r="L54" i="6"/>
  <c r="F10" i="6"/>
  <c r="T9" i="6"/>
  <c r="J9" i="6"/>
  <c r="J5" i="6"/>
  <c r="S53" i="6"/>
  <c r="S52" i="6"/>
  <c r="S51" i="6"/>
  <c r="P51" i="6"/>
  <c r="S50" i="6"/>
  <c r="P50" i="6"/>
  <c r="S49" i="6"/>
  <c r="T57" i="6" s="1"/>
  <c r="C49" i="6"/>
  <c r="C48" i="6"/>
  <c r="H47" i="6"/>
  <c r="C47" i="6"/>
  <c r="C46" i="6"/>
  <c r="C45" i="6"/>
  <c r="S44" i="6"/>
  <c r="P54" i="6" s="1"/>
  <c r="R44" i="6"/>
  <c r="P52" i="6" s="1"/>
  <c r="Q44" i="6"/>
  <c r="P53" i="6" s="1"/>
  <c r="P44" i="6"/>
  <c r="P49" i="6" s="1"/>
  <c r="G44" i="6"/>
  <c r="B38" i="6"/>
  <c r="B37" i="6"/>
  <c r="B32" i="6"/>
  <c r="C25" i="6"/>
  <c r="S9" i="6"/>
  <c r="J8" i="6"/>
  <c r="J6" i="6"/>
  <c r="F8" i="6"/>
  <c r="F7" i="6"/>
  <c r="F4" i="6"/>
  <c r="B36" i="6"/>
  <c r="B35" i="6"/>
  <c r="B34" i="6"/>
  <c r="Q9" i="6"/>
  <c r="F9" i="6"/>
  <c r="J7" i="6"/>
  <c r="F5" i="6"/>
  <c r="AD10" i="1"/>
  <c r="F8" i="1"/>
  <c r="J7" i="1"/>
  <c r="AD6" i="1"/>
  <c r="F6" i="1"/>
  <c r="AM56" i="5"/>
  <c r="AV50" i="5"/>
  <c r="C25" i="5"/>
  <c r="N20" i="5"/>
  <c r="U20" i="5" s="1"/>
  <c r="N9" i="5"/>
  <c r="F9" i="5"/>
  <c r="N7" i="5"/>
  <c r="K27" i="3"/>
  <c r="Q26" i="3"/>
  <c r="F11" i="3"/>
  <c r="N10" i="3" s="1"/>
  <c r="P19" i="3" s="1"/>
  <c r="J10" i="3"/>
  <c r="J8" i="3"/>
  <c r="J6" i="3"/>
  <c r="N5" i="3"/>
  <c r="Q38" i="2"/>
  <c r="U25" i="2"/>
  <c r="C25" i="2"/>
  <c r="U24" i="2"/>
  <c r="U23" i="2"/>
  <c r="T23" i="2"/>
  <c r="U22" i="2"/>
  <c r="R14" i="2"/>
  <c r="AH40" i="1"/>
  <c r="AH37" i="1"/>
  <c r="AH34" i="1"/>
  <c r="G20" i="1"/>
  <c r="F10" i="1"/>
  <c r="AD8" i="1"/>
  <c r="J8" i="1"/>
  <c r="J6" i="1"/>
  <c r="AM38" i="5"/>
  <c r="AN83" i="5" s="1"/>
  <c r="AG36" i="5"/>
  <c r="AM34" i="5"/>
  <c r="AN82" i="5" s="1"/>
  <c r="AG34" i="5"/>
  <c r="AQ11" i="5"/>
  <c r="AM3" i="5" s="1"/>
  <c r="J8" i="5"/>
  <c r="F7" i="5"/>
  <c r="J6" i="5"/>
  <c r="B38" i="4"/>
  <c r="B36" i="4"/>
  <c r="B34" i="4"/>
  <c r="B32" i="4"/>
  <c r="F9" i="4"/>
  <c r="J8" i="4"/>
  <c r="F8" i="4"/>
  <c r="F7" i="4"/>
  <c r="J6" i="4"/>
  <c r="F5" i="4"/>
  <c r="R4" i="4"/>
  <c r="P28" i="3"/>
  <c r="R19" i="3" s="1"/>
  <c r="Q27" i="3"/>
  <c r="P27" i="3"/>
  <c r="P26" i="3"/>
  <c r="G20" i="3"/>
  <c r="N11" i="3"/>
  <c r="J9" i="3"/>
  <c r="F9" i="3"/>
  <c r="N8" i="3" s="1"/>
  <c r="P38" i="2"/>
  <c r="Q37" i="2"/>
  <c r="O37" i="2"/>
  <c r="B35" i="2"/>
  <c r="O23" i="2" s="1"/>
  <c r="S23" i="2" s="1"/>
  <c r="B32" i="2"/>
  <c r="T20" i="2"/>
  <c r="F11" i="1"/>
  <c r="AG10" i="1"/>
  <c r="J10" i="1"/>
  <c r="J9" i="1"/>
  <c r="AN81" i="5"/>
  <c r="AG35" i="5"/>
  <c r="B56" i="4"/>
  <c r="L54" i="4"/>
  <c r="P50" i="4"/>
  <c r="C49" i="4"/>
  <c r="C48" i="4"/>
  <c r="C47" i="4"/>
  <c r="C46" i="4"/>
  <c r="Q44" i="4"/>
  <c r="P53" i="4" s="1"/>
  <c r="C25" i="4"/>
  <c r="F10" i="4"/>
  <c r="Q9" i="4"/>
  <c r="J9" i="4"/>
  <c r="J7" i="4"/>
  <c r="K31" i="3"/>
  <c r="Q28" i="3"/>
  <c r="P23" i="3"/>
  <c r="R14" i="3" s="1"/>
  <c r="S19" i="3"/>
  <c r="N19" i="3"/>
  <c r="F6" i="3"/>
  <c r="N6" i="3" s="1"/>
  <c r="C46" i="2"/>
  <c r="C45" i="2"/>
  <c r="B36" i="2"/>
  <c r="O24" i="2" s="1"/>
  <c r="S24" i="2" s="1"/>
  <c r="B34" i="2"/>
  <c r="O22" i="2" s="1"/>
  <c r="S22" i="2" s="1"/>
  <c r="R21" i="2"/>
  <c r="L13" i="2"/>
  <c r="H7" i="2" s="1"/>
  <c r="AH39" i="1"/>
  <c r="AH36" i="1"/>
  <c r="AD11" i="1"/>
  <c r="AD9" i="1"/>
  <c r="F9" i="1"/>
  <c r="AM57" i="5"/>
  <c r="Y54" i="5"/>
  <c r="AS31" i="5"/>
  <c r="AR18" i="5"/>
  <c r="AQ13" i="5"/>
  <c r="AM5" i="5" s="1"/>
  <c r="AQ12" i="5"/>
  <c r="AM4" i="5" s="1"/>
  <c r="J9" i="5"/>
  <c r="J7" i="5"/>
  <c r="F5" i="5"/>
  <c r="C80" i="4"/>
  <c r="C63" i="4" s="1"/>
  <c r="P77" i="4"/>
  <c r="Q69" i="4"/>
  <c r="R65" i="4" s="1"/>
  <c r="S52" i="4" s="1"/>
  <c r="R63" i="4"/>
  <c r="T50" i="4" s="1"/>
  <c r="R62" i="4"/>
  <c r="S49" i="4" s="1"/>
  <c r="P59" i="4"/>
  <c r="L58" i="4"/>
  <c r="P55" i="4"/>
  <c r="P51" i="4"/>
  <c r="S50" i="4"/>
  <c r="H47" i="4"/>
  <c r="C45" i="4"/>
  <c r="S44" i="4"/>
  <c r="P54" i="4" s="1"/>
  <c r="R44" i="4"/>
  <c r="P52" i="4" s="1"/>
  <c r="P44" i="4"/>
  <c r="P49" i="4" s="1"/>
  <c r="G44" i="4"/>
  <c r="B37" i="4"/>
  <c r="B35" i="4"/>
  <c r="S9" i="4"/>
  <c r="J5" i="4"/>
  <c r="P4" i="4"/>
  <c r="Q23" i="3"/>
  <c r="T19" i="3"/>
  <c r="O19" i="3"/>
  <c r="F10" i="3"/>
  <c r="N9" i="3" s="1"/>
  <c r="F8" i="3"/>
  <c r="N33" i="3" s="1"/>
  <c r="N7" i="3"/>
  <c r="J7" i="3"/>
  <c r="C44" i="2"/>
  <c r="P37" i="2"/>
  <c r="B37" i="2"/>
  <c r="O25" i="2" s="1"/>
  <c r="S25" i="2" s="1"/>
  <c r="B33" i="2"/>
  <c r="O21" i="2" s="1"/>
  <c r="S21" i="2" s="1"/>
  <c r="T25" i="2"/>
  <c r="T24" i="2"/>
  <c r="T22" i="2"/>
  <c r="U20" i="2"/>
  <c r="L17" i="2"/>
  <c r="S14" i="2"/>
  <c r="AH41" i="1"/>
  <c r="AH35" i="1"/>
  <c r="AH33" i="1"/>
  <c r="K31" i="1"/>
  <c r="K27" i="1"/>
  <c r="G21" i="1" s="1"/>
  <c r="F18" i="1" s="1"/>
  <c r="N21" i="5"/>
  <c r="U21" i="5" s="1"/>
  <c r="N18" i="5"/>
  <c r="U18" i="5" s="1"/>
  <c r="AQ14" i="5"/>
  <c r="AM6" i="5" s="1"/>
  <c r="F10" i="5"/>
  <c r="F8" i="5"/>
  <c r="S141" i="6" l="1"/>
  <c r="D38" i="6"/>
  <c r="X4" i="6"/>
  <c r="Z4" i="6"/>
  <c r="I22" i="6"/>
  <c r="R8" i="6"/>
  <c r="P8" i="6"/>
  <c r="D37" i="6"/>
  <c r="I21" i="6"/>
  <c r="D32" i="6"/>
  <c r="P3" i="6"/>
  <c r="R3" i="6"/>
  <c r="I16" i="6"/>
  <c r="Q140" i="6"/>
  <c r="AH9" i="6"/>
  <c r="AG9" i="6"/>
  <c r="P4" i="6"/>
  <c r="R4" i="6"/>
  <c r="D36" i="6"/>
  <c r="P7" i="6"/>
  <c r="I20" i="6"/>
  <c r="R7" i="6"/>
  <c r="AJ7" i="6" s="1"/>
  <c r="D35" i="6"/>
  <c r="I19" i="6"/>
  <c r="P6" i="6"/>
  <c r="R6" i="6"/>
  <c r="P5" i="6"/>
  <c r="I18" i="6"/>
  <c r="D34" i="6"/>
  <c r="R5" i="6"/>
  <c r="AJ5" i="6" s="1"/>
  <c r="AF9" i="6"/>
  <c r="P141" i="6"/>
  <c r="H48" i="6"/>
  <c r="AM47" i="5"/>
  <c r="AV55" i="5"/>
  <c r="AM48" i="5" s="1"/>
  <c r="Y5" i="5"/>
  <c r="Q41" i="5"/>
  <c r="Q40" i="5" s="1"/>
  <c r="N10" i="5"/>
  <c r="Y14" i="5"/>
  <c r="Y9" i="5" s="1"/>
  <c r="Y28" i="5"/>
  <c r="N8" i="5"/>
  <c r="N19" i="5"/>
  <c r="U19" i="5" s="1"/>
  <c r="P14" i="3"/>
  <c r="S14" i="3"/>
  <c r="N14" i="3"/>
  <c r="O14" i="3"/>
  <c r="T14" i="3"/>
  <c r="D38" i="4"/>
  <c r="Z4" i="4"/>
  <c r="X4" i="4"/>
  <c r="I22" i="4"/>
  <c r="D36" i="4"/>
  <c r="I20" i="4"/>
  <c r="P7" i="4"/>
  <c r="R7" i="4"/>
  <c r="D34" i="4"/>
  <c r="R5" i="4"/>
  <c r="P5" i="4"/>
  <c r="I18" i="4"/>
  <c r="D32" i="4"/>
  <c r="P3" i="4"/>
  <c r="I16" i="4"/>
  <c r="R3" i="4"/>
  <c r="S20" i="3"/>
  <c r="O20" i="3"/>
  <c r="R20" i="3"/>
  <c r="N20" i="3"/>
  <c r="P20" i="3"/>
  <c r="T20" i="3"/>
  <c r="O17" i="3"/>
  <c r="T17" i="3"/>
  <c r="P17" i="3"/>
  <c r="N17" i="3"/>
  <c r="S17" i="3"/>
  <c r="B38" i="2"/>
  <c r="O20" i="2"/>
  <c r="S20" i="2" s="1"/>
  <c r="S26" i="2" s="1"/>
  <c r="Q13" i="2" s="1"/>
  <c r="AF9" i="4"/>
  <c r="P141" i="4"/>
  <c r="P15" i="3"/>
  <c r="T15" i="3"/>
  <c r="O15" i="3"/>
  <c r="S15" i="3"/>
  <c r="N15" i="3"/>
  <c r="R15" i="3"/>
  <c r="U21" i="2"/>
  <c r="T21" i="2"/>
  <c r="G4" i="2"/>
  <c r="C28" i="2"/>
  <c r="Q14" i="2" s="1"/>
  <c r="O38" i="2"/>
  <c r="AQ18" i="5"/>
  <c r="AS18" i="5"/>
  <c r="N16" i="5"/>
  <c r="U16" i="5" s="1"/>
  <c r="N5" i="5"/>
  <c r="S140" i="4"/>
  <c r="S141" i="4"/>
  <c r="D37" i="4"/>
  <c r="P8" i="4"/>
  <c r="R8" i="4"/>
  <c r="I21" i="4"/>
  <c r="D35" i="4"/>
  <c r="I19" i="4"/>
  <c r="P6" i="4"/>
  <c r="R6" i="4"/>
  <c r="AJ6" i="4" s="1"/>
  <c r="AG9" i="4"/>
  <c r="Q140" i="4"/>
  <c r="Q4" i="4"/>
  <c r="S4" i="4"/>
  <c r="T4" i="4"/>
  <c r="T18" i="3"/>
  <c r="O18" i="3"/>
  <c r="N18" i="3"/>
  <c r="P18" i="3"/>
  <c r="S18" i="3"/>
  <c r="N16" i="3"/>
  <c r="S16" i="3"/>
  <c r="O16" i="3"/>
  <c r="R16" i="3"/>
  <c r="T16" i="3"/>
  <c r="P16" i="3"/>
  <c r="N17" i="5"/>
  <c r="U17" i="5" s="1"/>
  <c r="N6" i="5"/>
  <c r="N4" i="5"/>
  <c r="N15" i="5"/>
  <c r="U15" i="5" s="1"/>
  <c r="R17" i="3"/>
  <c r="R18" i="3"/>
  <c r="R66" i="4"/>
  <c r="S53" i="4" s="1"/>
  <c r="H48" i="4"/>
  <c r="F15" i="1"/>
  <c r="G21" i="3"/>
  <c r="F18" i="3" s="1"/>
  <c r="Y15" i="5"/>
  <c r="Y32" i="5" s="1"/>
  <c r="F14" i="1"/>
  <c r="T9" i="4"/>
  <c r="R67" i="4"/>
  <c r="S54" i="4" s="1"/>
  <c r="R64" i="4"/>
  <c r="S51" i="4" s="1"/>
  <c r="AI9" i="6" l="1"/>
  <c r="AB4" i="6"/>
  <c r="Y4" i="6"/>
  <c r="AA4" i="6"/>
  <c r="T8" i="6"/>
  <c r="Q8" i="6"/>
  <c r="S8" i="6"/>
  <c r="Q3" i="6"/>
  <c r="S3" i="6"/>
  <c r="T3" i="6"/>
  <c r="AJ9" i="6"/>
  <c r="AK9" i="6" s="1"/>
  <c r="AJ3" i="6"/>
  <c r="Q4" i="6"/>
  <c r="S4" i="6"/>
  <c r="T4" i="6"/>
  <c r="Q7" i="6"/>
  <c r="S7" i="6"/>
  <c r="T7" i="6"/>
  <c r="S6" i="6"/>
  <c r="Q6" i="6"/>
  <c r="T6" i="6"/>
  <c r="T5" i="6"/>
  <c r="S5" i="6"/>
  <c r="Q5" i="6"/>
  <c r="G45" i="6"/>
  <c r="C28" i="6"/>
  <c r="P78" i="6" s="1"/>
  <c r="Q78" i="6" s="1"/>
  <c r="B33" i="6"/>
  <c r="AJ8" i="6"/>
  <c r="AJ6" i="6"/>
  <c r="AJ4" i="6"/>
  <c r="Y56" i="5"/>
  <c r="Y4" i="5"/>
  <c r="Y55" i="5" s="1"/>
  <c r="AA66" i="5"/>
  <c r="AA67" i="5"/>
  <c r="Y25" i="5"/>
  <c r="AA65" i="5"/>
  <c r="Y26" i="5"/>
  <c r="Y27" i="5"/>
  <c r="AB4" i="4"/>
  <c r="Y4" i="4"/>
  <c r="AA4" i="4"/>
  <c r="Q7" i="4"/>
  <c r="T7" i="4"/>
  <c r="S7" i="4"/>
  <c r="Q5" i="4"/>
  <c r="T5" i="4"/>
  <c r="S5" i="4"/>
  <c r="Q3" i="4"/>
  <c r="T3" i="4"/>
  <c r="AJ4" i="4"/>
  <c r="AJ9" i="4"/>
  <c r="AJ3" i="4"/>
  <c r="S8" i="4"/>
  <c r="Q8" i="4"/>
  <c r="T8" i="4"/>
  <c r="S6" i="4"/>
  <c r="Q6" i="4"/>
  <c r="T6" i="4"/>
  <c r="P136" i="4"/>
  <c r="AF4" i="4"/>
  <c r="AG4" i="4"/>
  <c r="Q141" i="4"/>
  <c r="B33" i="4"/>
  <c r="G45" i="4"/>
  <c r="C28" i="4"/>
  <c r="P78" i="4" s="1"/>
  <c r="Q78" i="4" s="1"/>
  <c r="AJ5" i="4"/>
  <c r="AJ8" i="4"/>
  <c r="T57" i="4"/>
  <c r="AH9" i="4"/>
  <c r="AJ7" i="4"/>
  <c r="AF8" i="6" l="1"/>
  <c r="P140" i="6"/>
  <c r="AG8" i="6"/>
  <c r="Q139" i="6"/>
  <c r="AF3" i="6"/>
  <c r="AF12" i="6"/>
  <c r="P135" i="6"/>
  <c r="AG3" i="6"/>
  <c r="AG12" i="6"/>
  <c r="Q135" i="6"/>
  <c r="P136" i="6"/>
  <c r="AF4" i="6"/>
  <c r="AG4" i="6"/>
  <c r="Q141" i="6"/>
  <c r="P139" i="6"/>
  <c r="AF7" i="6"/>
  <c r="Q138" i="6"/>
  <c r="AG7" i="6"/>
  <c r="Q137" i="6"/>
  <c r="AG6" i="6"/>
  <c r="P138" i="6"/>
  <c r="AF6" i="6"/>
  <c r="Q136" i="6"/>
  <c r="AG5" i="6"/>
  <c r="AF5" i="6"/>
  <c r="P137" i="6"/>
  <c r="S62" i="6"/>
  <c r="S63" i="6"/>
  <c r="T63" i="6" s="1"/>
  <c r="S64" i="6"/>
  <c r="S65" i="6"/>
  <c r="S66" i="6"/>
  <c r="S67" i="6"/>
  <c r="R72" i="6"/>
  <c r="B39" i="6"/>
  <c r="D33" i="6"/>
  <c r="I17" i="6"/>
  <c r="T10" i="6"/>
  <c r="AF7" i="4"/>
  <c r="P139" i="4"/>
  <c r="Q138" i="4"/>
  <c r="AG7" i="4"/>
  <c r="AF5" i="4"/>
  <c r="P137" i="4"/>
  <c r="AG5" i="4"/>
  <c r="Q136" i="4"/>
  <c r="AG12" i="4"/>
  <c r="Q135" i="4"/>
  <c r="AG3" i="4"/>
  <c r="N1" i="5"/>
  <c r="AF3" i="4"/>
  <c r="P135" i="4"/>
  <c r="AF12" i="4"/>
  <c r="AF14" i="4" s="1"/>
  <c r="AG8" i="4"/>
  <c r="Q139" i="4"/>
  <c r="P140" i="4"/>
  <c r="AF8" i="4"/>
  <c r="AG6" i="4"/>
  <c r="Q137" i="4"/>
  <c r="AF6" i="4"/>
  <c r="P138" i="4"/>
  <c r="B39" i="4"/>
  <c r="I17" i="4"/>
  <c r="D33" i="4"/>
  <c r="S62" i="4"/>
  <c r="R72" i="4"/>
  <c r="S63" i="4"/>
  <c r="S64" i="4"/>
  <c r="S65" i="4"/>
  <c r="S66" i="4"/>
  <c r="S67" i="4"/>
  <c r="T10" i="4"/>
  <c r="N2" i="5"/>
  <c r="AI9" i="4"/>
  <c r="AK9" i="4" s="1"/>
  <c r="T62" i="6" l="1"/>
  <c r="U3" i="6"/>
  <c r="T64" i="6"/>
  <c r="U5" i="6"/>
  <c r="AH5" i="6" s="1"/>
  <c r="AI5" i="6" s="1"/>
  <c r="AK5" i="6" s="1"/>
  <c r="T65" i="6"/>
  <c r="U6" i="6"/>
  <c r="AH6" i="6" s="1"/>
  <c r="AI6" i="6" s="1"/>
  <c r="AK6" i="6" s="1"/>
  <c r="T66" i="6"/>
  <c r="U7" i="6"/>
  <c r="AH7" i="6" s="1"/>
  <c r="T67" i="6"/>
  <c r="U8" i="6"/>
  <c r="C32" i="6"/>
  <c r="C38" i="6"/>
  <c r="C37" i="6"/>
  <c r="C34" i="6"/>
  <c r="C35" i="6"/>
  <c r="C36" i="6"/>
  <c r="I23" i="6"/>
  <c r="AF14" i="6"/>
  <c r="AH4" i="6"/>
  <c r="AI7" i="6"/>
  <c r="AK7" i="6" s="1"/>
  <c r="C33" i="6"/>
  <c r="AI4" i="6"/>
  <c r="AK4" i="6" s="1"/>
  <c r="C32" i="4"/>
  <c r="C34" i="4"/>
  <c r="C35" i="4"/>
  <c r="C36" i="4"/>
  <c r="C38" i="4"/>
  <c r="C37" i="4"/>
  <c r="I23" i="4"/>
  <c r="T62" i="4"/>
  <c r="AH4" i="4"/>
  <c r="AI4" i="4" s="1"/>
  <c r="AK4" i="4" s="1"/>
  <c r="T63" i="4"/>
  <c r="T64" i="4"/>
  <c r="AH5" i="4"/>
  <c r="T65" i="4"/>
  <c r="AH6" i="4"/>
  <c r="AI6" i="4" s="1"/>
  <c r="AK6" i="4" s="1"/>
  <c r="T66" i="4"/>
  <c r="U7" i="4"/>
  <c r="AH7" i="4" s="1"/>
  <c r="T67" i="4"/>
  <c r="U8" i="4"/>
  <c r="P1" i="5"/>
  <c r="AI7" i="4"/>
  <c r="AK7" i="4" s="1"/>
  <c r="AI5" i="4"/>
  <c r="AK5" i="4" s="1"/>
  <c r="C33" i="4"/>
  <c r="AH3" i="6" l="1"/>
  <c r="AI3" i="6" s="1"/>
  <c r="AK3" i="6" s="1"/>
  <c r="U10" i="6"/>
  <c r="AH12" i="6" s="1"/>
  <c r="AJ12" i="6" s="1"/>
  <c r="AH8" i="6"/>
  <c r="AI8" i="6" s="1"/>
  <c r="AK8" i="6" s="1"/>
  <c r="V9" i="6"/>
  <c r="AH3" i="4"/>
  <c r="AI3" i="4" s="1"/>
  <c r="AK3" i="4" s="1"/>
  <c r="U10" i="4"/>
  <c r="AH12" i="4" s="1"/>
  <c r="AJ12" i="4" s="1"/>
  <c r="AH8" i="4"/>
  <c r="AI8" i="4" s="1"/>
  <c r="AK8" i="4" s="1"/>
  <c r="V9" i="4"/>
  <c r="AK10" i="6" l="1"/>
  <c r="AK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Lakshmi Srinivasan</author>
  </authors>
  <commentList>
    <comment ref="F5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Lakshmi Srinivasan:
Recycling only aluminum from module and pack. No cell aluminum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Lakshmi Srinivasan</author>
  </authors>
  <commentList>
    <comment ref="F5" authorId="0" shapeId="0" xr:uid="{00000000-0006-0000-0200-000001000000}">
      <text>
        <r>
          <rPr>
            <sz val="11"/>
            <color theme="1"/>
            <rFont val="Aptos Narrow"/>
            <family val="2"/>
            <scheme val="minor"/>
          </rPr>
          <t>Lakshmi Srinivasan:
all aluminum - cell +module+pack</t>
        </r>
      </text>
    </comment>
    <comment ref="P5" authorId="0" shapeId="0" xr:uid="{00000000-0006-0000-0200-000002000000}">
      <text>
        <r>
          <rPr>
            <sz val="11"/>
            <color theme="1"/>
            <rFont val="Aptos Narrow"/>
            <family val="2"/>
            <scheme val="minor"/>
          </rPr>
          <t>Lakshmi Srinivasan:
https://pubs.usgs.gov/periodicals/mcs2025/mcs2025-aluminum.pdf</t>
        </r>
      </text>
    </comment>
    <comment ref="P6" authorId="0" shapeId="0" xr:uid="{00000000-0006-0000-0200-000003000000}">
      <text>
        <r>
          <rPr>
            <sz val="11"/>
            <color theme="1"/>
            <rFont val="Aptos Narrow"/>
            <family val="2"/>
            <scheme val="minor"/>
          </rPr>
          <t>Lakshmi Srinivasan:
https://pubs.usgs.gov/periodicals/mcs2024/mcs2024-cobalt.pdf</t>
        </r>
      </text>
    </comment>
    <comment ref="P7" authorId="0" shapeId="0" xr:uid="{00000000-0006-0000-0200-000004000000}">
      <text>
        <r>
          <rPr>
            <sz val="11"/>
            <color theme="1"/>
            <rFont val="Aptos Narrow"/>
            <family val="2"/>
            <scheme val="minor"/>
          </rPr>
          <t xml:space="preserve">Lakshmi Srinivasan:
https://pubs.usgs.gov/periodicals/mcs2024/mcs2024-copper.pdf
</t>
        </r>
      </text>
    </comment>
    <comment ref="P8" authorId="0" shapeId="0" xr:uid="{00000000-0006-0000-0200-000005000000}">
      <text>
        <r>
          <rPr>
            <sz val="11"/>
            <color theme="1"/>
            <rFont val="Aptos Narrow"/>
            <family val="2"/>
            <scheme val="minor"/>
          </rPr>
          <t xml:space="preserve">Lakshmi Srinivasan:
https://pubs.usgs.gov/periodicals/mcs2024/mcs2024-lithium.pdf
</t>
        </r>
      </text>
    </comment>
    <comment ref="P9" authorId="0" shapeId="0" xr:uid="{00000000-0006-0000-0200-000006000000}">
      <text>
        <r>
          <rPr>
            <sz val="11"/>
            <color theme="1"/>
            <rFont val="Aptos Narrow"/>
            <family val="2"/>
            <scheme val="minor"/>
          </rPr>
          <t xml:space="preserve">Lakshmi Srinivasan:
https://giyanimetals.com/manganese#:~:text=Notes
</t>
        </r>
      </text>
    </comment>
    <comment ref="P10" authorId="0" shapeId="0" xr:uid="{00000000-0006-0000-0200-000007000000}">
      <text>
        <r>
          <rPr>
            <sz val="11"/>
            <color theme="1"/>
            <rFont val="Aptos Narrow"/>
            <family val="2"/>
            <scheme val="minor"/>
          </rPr>
          <t>Lakshmi Srinivasan:
https://pubs.usgs.gov/periodicals/mcs2024/mcs2024-nickel.pdf</t>
        </r>
      </text>
    </comment>
    <comment ref="P11" authorId="0" shapeId="0" xr:uid="{00000000-0006-0000-0200-000008000000}">
      <text>
        <r>
          <rPr>
            <sz val="11"/>
            <color theme="1"/>
            <rFont val="Aptos Narrow"/>
            <family val="2"/>
            <scheme val="minor"/>
          </rPr>
          <t xml:space="preserve">Lakshmi Srinivasan:
https://ceepr.mit.edu/wp-content/uploads/2025/09/Online-Technical-Appendix-Building-a-Climate-Coalition.pdf
</t>
        </r>
      </text>
    </comment>
    <comment ref="N39" authorId="0" shapeId="0" xr:uid="{00000000-0006-0000-0200-000009000000}">
      <text>
        <r>
          <rPr>
            <sz val="11"/>
            <color theme="1"/>
            <rFont val="Aptos Narrow"/>
            <family val="2"/>
            <scheme val="minor"/>
          </rPr>
          <t>Lakshmi Srinivasan:
https://pubs.usgs.gov/periodicals/mcs2025/mcs2025-aluminum.pdf</t>
        </r>
      </text>
    </comment>
    <comment ref="N40" authorId="0" shapeId="0" xr:uid="{00000000-0006-0000-0200-00000A000000}">
      <text>
        <r>
          <rPr>
            <sz val="11"/>
            <color theme="1"/>
            <rFont val="Aptos Narrow"/>
            <family val="2"/>
            <scheme val="minor"/>
          </rPr>
          <t>Lakshmi Srinivasan:
https://pubs.usgs.gov/periodicals/mcs2024/mcs2024-cobalt.pdf</t>
        </r>
      </text>
    </comment>
    <comment ref="N41" authorId="0" shapeId="0" xr:uid="{00000000-0006-0000-0200-00000B000000}">
      <text>
        <r>
          <rPr>
            <sz val="11"/>
            <color theme="1"/>
            <rFont val="Aptos Narrow"/>
            <family val="2"/>
            <scheme val="minor"/>
          </rPr>
          <t xml:space="preserve">Lakshmi Srinivasan:
https://pubs.usgs.gov/periodicals/mcs2024/mcs2024-copper.pdf
</t>
        </r>
      </text>
    </comment>
    <comment ref="N42" authorId="0" shapeId="0" xr:uid="{00000000-0006-0000-0200-00000C000000}">
      <text>
        <r>
          <rPr>
            <sz val="11"/>
            <color theme="1"/>
            <rFont val="Aptos Narrow"/>
            <family val="2"/>
            <scheme val="minor"/>
          </rPr>
          <t xml:space="preserve">Lakshmi Srinivasan:
https://pubs.usgs.gov/periodicals/mcs2024/mcs2024-lithium.pdf
</t>
        </r>
      </text>
    </comment>
    <comment ref="N43" authorId="0" shapeId="0" xr:uid="{00000000-0006-0000-0200-00000D000000}">
      <text>
        <r>
          <rPr>
            <sz val="11"/>
            <color theme="1"/>
            <rFont val="Aptos Narrow"/>
            <family val="2"/>
            <scheme val="minor"/>
          </rPr>
          <t xml:space="preserve">Lakshmi Srinivasan:
https://giyanimetals.com/manganese#:~:text=Notes
</t>
        </r>
      </text>
    </comment>
    <comment ref="N44" authorId="0" shapeId="0" xr:uid="{00000000-0006-0000-0200-00000E000000}">
      <text>
        <r>
          <rPr>
            <sz val="11"/>
            <color theme="1"/>
            <rFont val="Aptos Narrow"/>
            <family val="2"/>
            <scheme val="minor"/>
          </rPr>
          <t>Lakshmi Srinivasan:
https://pubs.usgs.gov/periodicals/mcs2024/mcs2024-nickel.pdf</t>
        </r>
      </text>
    </comment>
    <comment ref="N45" authorId="0" shapeId="0" xr:uid="{00000000-0006-0000-0200-00000F000000}">
      <text>
        <r>
          <rPr>
            <sz val="11"/>
            <color theme="1"/>
            <rFont val="Aptos Narrow"/>
            <family val="2"/>
            <scheme val="minor"/>
          </rPr>
          <t xml:space="preserve">Lakshmi Srinivasan:
https://ceepr.mit.edu/wp-content/uploads/2025/09/Online-Technical-Appendix-Building-a-Climate-Coalition.pdf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Lakshmi Srinivasan</author>
  </authors>
  <commentList>
    <comment ref="Q5" authorId="0" shapeId="0" xr:uid="{4041294C-72AE-4AA9-B4FD-35B8EF2E3539}">
      <text>
        <r>
          <rPr>
            <sz val="11"/>
            <color theme="1"/>
            <rFont val="Aptos Narrow"/>
            <family val="2"/>
            <scheme val="minor"/>
          </rPr>
          <t>Lakshmi Srinivasan:
https://internationalcopper.org/wp-content/uploads/2022/02/ICA-RecyclingBrief-202201-A4-R2.pdf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Lakshmi Srinivasan</author>
  </authors>
  <commentList>
    <comment ref="Q5" authorId="0" shapeId="0" xr:uid="{00000000-0006-0000-0300-000001000000}">
      <text>
        <r>
          <rPr>
            <sz val="11"/>
            <color theme="1"/>
            <rFont val="Aptos Narrow"/>
            <family val="2"/>
            <scheme val="minor"/>
          </rPr>
          <t>Lakshmi Srinivasan:
https://internationalcopper.org/wp-content/uploads/2022/02/ICA-RecyclingBrief-202201-A4-R2.pdf</t>
        </r>
      </text>
    </comment>
  </commentList>
</comments>
</file>

<file path=xl/sharedStrings.xml><?xml version="1.0" encoding="utf-8"?>
<sst xmlns="http://schemas.openxmlformats.org/spreadsheetml/2006/main" count="1959" uniqueCount="641">
  <si>
    <t>M1</t>
  </si>
  <si>
    <t>m_re_total</t>
  </si>
  <si>
    <t>kg</t>
  </si>
  <si>
    <t>2.3) Li-Ion Battery</t>
  </si>
  <si>
    <t>m_vir_total</t>
  </si>
  <si>
    <t>R1</t>
  </si>
  <si>
    <t>from PCI</t>
  </si>
  <si>
    <t>E1</t>
  </si>
  <si>
    <t>EV: Conventional Material</t>
  </si>
  <si>
    <t>M2</t>
  </si>
  <si>
    <t>F</t>
  </si>
  <si>
    <t>fp</t>
  </si>
  <si>
    <t>ft</t>
  </si>
  <si>
    <t>m_waste</t>
  </si>
  <si>
    <t>TOTAL_BATTERY_MASS</t>
  </si>
  <si>
    <t>F_rene_1</t>
  </si>
  <si>
    <t>fraction</t>
  </si>
  <si>
    <t>Importance fraction step 1</t>
  </si>
  <si>
    <t>Weight by Materials: lb per battery</t>
  </si>
  <si>
    <t>lbs</t>
  </si>
  <si>
    <t>Weight by Materials: kg per battery</t>
  </si>
  <si>
    <t>M [aluminium]</t>
  </si>
  <si>
    <t>Element</t>
  </si>
  <si>
    <t>Mass fraction</t>
  </si>
  <si>
    <t>% by mass</t>
  </si>
  <si>
    <t>Lithium</t>
  </si>
  <si>
    <t>m_natural_resources</t>
  </si>
  <si>
    <t>steel</t>
  </si>
  <si>
    <t>F_rene_2</t>
  </si>
  <si>
    <t>Importance fraction step 2</t>
  </si>
  <si>
    <t xml:space="preserve">    Active Material</t>
  </si>
  <si>
    <t>M [cobalt]</t>
  </si>
  <si>
    <t>Ni</t>
  </si>
  <si>
    <t>Cobalt</t>
  </si>
  <si>
    <t>m_product_R1</t>
  </si>
  <si>
    <t>aluminium</t>
  </si>
  <si>
    <t>F_rene_3</t>
  </si>
  <si>
    <t>Importance fraction step 3</t>
  </si>
  <si>
    <t xml:space="preserve">    Graphite/Carbon</t>
  </si>
  <si>
    <t>M [copper]</t>
  </si>
  <si>
    <t>Co</t>
  </si>
  <si>
    <t>Nickel</t>
  </si>
  <si>
    <t>copper</t>
  </si>
  <si>
    <t>F_rene_4</t>
  </si>
  <si>
    <t>Importance fraction step 4</t>
  </si>
  <si>
    <t>US values</t>
  </si>
  <si>
    <t xml:space="preserve">    Silicon</t>
  </si>
  <si>
    <t>M [graphite]</t>
  </si>
  <si>
    <t>Mn</t>
  </si>
  <si>
    <t>Copper</t>
  </si>
  <si>
    <t>cobalt</t>
  </si>
  <si>
    <t>E_rene_1</t>
  </si>
  <si>
    <t>MJ</t>
  </si>
  <si>
    <t>Renewable energy consumption step 1</t>
  </si>
  <si>
    <t xml:space="preserve">    Binder</t>
  </si>
  <si>
    <t>M [lithium]</t>
  </si>
  <si>
    <t>O</t>
  </si>
  <si>
    <t>Manganese</t>
  </si>
  <si>
    <t>R2</t>
  </si>
  <si>
    <t>nickel</t>
  </si>
  <si>
    <t>E_rene_2</t>
  </si>
  <si>
    <t>Renewable energy consumption step 2</t>
  </si>
  <si>
    <t xml:space="preserve">    Copper</t>
  </si>
  <si>
    <t>M [manganese]</t>
  </si>
  <si>
    <t>Li</t>
  </si>
  <si>
    <t>Aluminum</t>
  </si>
  <si>
    <t>m_remanufactured</t>
  </si>
  <si>
    <t>kg/year</t>
  </si>
  <si>
    <t>manganese</t>
  </si>
  <si>
    <t>E_rene_3</t>
  </si>
  <si>
    <t>Renewable energy consumption step 3</t>
  </si>
  <si>
    <t xml:space="preserve">    Aluminum Sheet (Automotive)</t>
  </si>
  <si>
    <t>M [nickel]</t>
  </si>
  <si>
    <t>Iron</t>
  </si>
  <si>
    <t>F_EV</t>
  </si>
  <si>
    <t>lithium</t>
  </si>
  <si>
    <t>E_rene_4</t>
  </si>
  <si>
    <t>Renewable energy consumption step 4</t>
  </si>
  <si>
    <t xml:space="preserve">    Cast Aluminum</t>
  </si>
  <si>
    <t>M [steel]</t>
  </si>
  <si>
    <t>Molecular weight LiNi₀.8Co₀.1Mn₀.1O₂</t>
  </si>
  <si>
    <t>needs to be 0.585</t>
  </si>
  <si>
    <t>F_generation</t>
  </si>
  <si>
    <t>E_total_1</t>
  </si>
  <si>
    <t>Total energy consumption step 1</t>
  </si>
  <si>
    <t xml:space="preserve">    Electrolyte: LiPF6</t>
  </si>
  <si>
    <t>F_user</t>
  </si>
  <si>
    <t>E_total_2</t>
  </si>
  <si>
    <t>Total energy consumption step 2</t>
  </si>
  <si>
    <t xml:space="preserve">    Electrolyte: Ethylene Carbonate</t>
  </si>
  <si>
    <t>F_mobile</t>
  </si>
  <si>
    <t>E_total_3</t>
  </si>
  <si>
    <t>Total energy consumption step 3</t>
  </si>
  <si>
    <t xml:space="preserve">    Electrolyte: Dimethyl Carbonate</t>
  </si>
  <si>
    <t>M3</t>
  </si>
  <si>
    <t>m_i</t>
  </si>
  <si>
    <t>F_pyro</t>
  </si>
  <si>
    <t>eta_pyro</t>
  </si>
  <si>
    <t>F_hydro</t>
  </si>
  <si>
    <t>eta_hydro</t>
  </si>
  <si>
    <t>PCI_paper</t>
  </si>
  <si>
    <t>m_product_R2</t>
  </si>
  <si>
    <t>E_total_4</t>
  </si>
  <si>
    <t>Total energy consumption step 4</t>
  </si>
  <si>
    <t xml:space="preserve">    Plastic: Polypropylene</t>
  </si>
  <si>
    <t>m_recycled_at_80</t>
  </si>
  <si>
    <t>Recheck</t>
  </si>
  <si>
    <t xml:space="preserve">    Plastic: Polyethylene</t>
  </si>
  <si>
    <t>for S1</t>
  </si>
  <si>
    <t xml:space="preserve">    Plastic: Polymer</t>
  </si>
  <si>
    <t>E2</t>
  </si>
  <si>
    <t xml:space="preserve">    Plastic: Polyethylene Terephthalate</t>
  </si>
  <si>
    <t>R3</t>
  </si>
  <si>
    <t>F_step_1</t>
  </si>
  <si>
    <t>Fraction of energy in step 1</t>
  </si>
  <si>
    <t xml:space="preserve">    Steel</t>
  </si>
  <si>
    <t>SOF_retired_1</t>
  </si>
  <si>
    <t>[0,0.4]</t>
  </si>
  <si>
    <t>F_step_2</t>
  </si>
  <si>
    <t>Fraction of energy in step 2</t>
  </si>
  <si>
    <t xml:space="preserve">    Stainless Steel</t>
  </si>
  <si>
    <t>SOF_retired_2</t>
  </si>
  <si>
    <t>[0.4-0.8]</t>
  </si>
  <si>
    <t>F_step_3</t>
  </si>
  <si>
    <t>Fraction of energy in step 3</t>
  </si>
  <si>
    <t xml:space="preserve">    Rubber</t>
  </si>
  <si>
    <t>SOF_retired_3</t>
  </si>
  <si>
    <t>[0.8,1]</t>
  </si>
  <si>
    <t>F_step_4</t>
  </si>
  <si>
    <t>Fraction of energy in step 4</t>
  </si>
  <si>
    <t xml:space="preserve">    Thermal Insulation</t>
  </si>
  <si>
    <t>Y_retired_1</t>
  </si>
  <si>
    <t>years</t>
  </si>
  <si>
    <t>ES_step_1</t>
  </si>
  <si>
    <t>factor</t>
  </si>
  <si>
    <t>Energy-saving factor step 1</t>
  </si>
  <si>
    <t xml:space="preserve">    Coolant: Glycol</t>
  </si>
  <si>
    <t>Y_retired_2</t>
  </si>
  <si>
    <t>ES_step_2</t>
  </si>
  <si>
    <t>Energy-saving factor step 2</t>
  </si>
  <si>
    <t xml:space="preserve">    Electronic Parts</t>
  </si>
  <si>
    <t>M4</t>
  </si>
  <si>
    <t>m_c_i</t>
  </si>
  <si>
    <t>Ohio 50000+ 1800</t>
  </si>
  <si>
    <t>Y_retired_3</t>
  </si>
  <si>
    <t>AL old paper</t>
  </si>
  <si>
    <t>ES_step_3</t>
  </si>
  <si>
    <t>Energy-saving factor step 3</t>
  </si>
  <si>
    <t>Toal mass</t>
  </si>
  <si>
    <t>m_out_c_i</t>
  </si>
  <si>
    <t>Michigan blackmass 22640 MT/yr</t>
  </si>
  <si>
    <t>m_repurpose_1</t>
  </si>
  <si>
    <t>Landfill</t>
  </si>
  <si>
    <t>at 90% collection eff</t>
  </si>
  <si>
    <t>ES_step_4</t>
  </si>
  <si>
    <t>Energy-saving factor step 4</t>
  </si>
  <si>
    <t>m_repurpose_2</t>
  </si>
  <si>
    <t>Recycling</t>
  </si>
  <si>
    <t>m_repurpose_3</t>
  </si>
  <si>
    <t>Remanf</t>
  </si>
  <si>
    <t>M5</t>
  </si>
  <si>
    <t>C_trans</t>
  </si>
  <si>
    <t>$/kg</t>
  </si>
  <si>
    <t>m_product_R3</t>
  </si>
  <si>
    <t>Repurpose</t>
  </si>
  <si>
    <t>E3</t>
  </si>
  <si>
    <t>C_energy</t>
  </si>
  <si>
    <t xml:space="preserve">  Utilities (10-20% of total product cost)</t>
  </si>
  <si>
    <t>E_extraction</t>
  </si>
  <si>
    <t>Energy for raw material extraction</t>
  </si>
  <si>
    <t>C_labor</t>
  </si>
  <si>
    <t>($/kg cell)</t>
  </si>
  <si>
    <t>E_processing</t>
  </si>
  <si>
    <t>Energy for material processing</t>
  </si>
  <si>
    <t>C_total</t>
  </si>
  <si>
    <t>R4</t>
  </si>
  <si>
    <t>E_assembly</t>
  </si>
  <si>
    <t>Energy for module/cell assembly</t>
  </si>
  <si>
    <t>recycled_fraction</t>
  </si>
  <si>
    <t>Refer to table S3</t>
  </si>
  <si>
    <t>E_transport_manuf</t>
  </si>
  <si>
    <t>Energy for manufacturing transport</t>
  </si>
  <si>
    <t>Q1</t>
  </si>
  <si>
    <t>score</t>
  </si>
  <si>
    <t xml:space="preserve">Recycling </t>
  </si>
  <si>
    <t>fixing Remanufacturing at 2% and 10% at repurposing</t>
  </si>
  <si>
    <t>E_collection</t>
  </si>
  <si>
    <t>Energy for collection of spent batteries</t>
  </si>
  <si>
    <t>Q2</t>
  </si>
  <si>
    <t>at collection =70%</t>
  </si>
  <si>
    <t>E_transport_recy</t>
  </si>
  <si>
    <t>Energy for transport to recycling</t>
  </si>
  <si>
    <t>M6</t>
  </si>
  <si>
    <t>WRR</t>
  </si>
  <si>
    <t>Q3</t>
  </si>
  <si>
    <t>at collection =90%</t>
  </si>
  <si>
    <t>E_pre_treatment</t>
  </si>
  <si>
    <t>Energy for pre-treatment</t>
  </si>
  <si>
    <t>WTE</t>
  </si>
  <si>
    <t>Q4</t>
  </si>
  <si>
    <t>at collection =100%</t>
  </si>
  <si>
    <t>E_recovery</t>
  </si>
  <si>
    <t>Energy for recovery processes</t>
  </si>
  <si>
    <t>Q5</t>
  </si>
  <si>
    <t>E_repurpose</t>
  </si>
  <si>
    <t>Energy for repurposing</t>
  </si>
  <si>
    <t>use same energy consumption as recycling</t>
  </si>
  <si>
    <t>M7</t>
  </si>
  <si>
    <t>m_residuals</t>
  </si>
  <si>
    <t>??</t>
  </si>
  <si>
    <t>Q6</t>
  </si>
  <si>
    <t>Depends on collection efficiency</t>
  </si>
  <si>
    <t>E_operational_secondlife</t>
  </si>
  <si>
    <t>Operational energy during second-life</t>
  </si>
  <si>
    <t>m_emissions</t>
  </si>
  <si>
    <t>kgCO2-eq</t>
  </si>
  <si>
    <t>Q7</t>
  </si>
  <si>
    <t>f_saving_from_recycled</t>
  </si>
  <si>
    <t>Energy saving from recycled material</t>
  </si>
  <si>
    <t>make second life energy same as recycling</t>
  </si>
  <si>
    <t>m_landfill</t>
  </si>
  <si>
    <t>assuming 10%</t>
  </si>
  <si>
    <t>Q8</t>
  </si>
  <si>
    <t>P_recycling</t>
  </si>
  <si>
    <t>Fraction allocated to recycling</t>
  </si>
  <si>
    <t>?Needs to be 0.69</t>
  </si>
  <si>
    <t>was initially 0.3</t>
  </si>
  <si>
    <t>m_product</t>
  </si>
  <si>
    <t>Q9</t>
  </si>
  <si>
    <t>P_secondlife</t>
  </si>
  <si>
    <t>Fraction allocated to second-life</t>
  </si>
  <si>
    <t>2nd life</t>
  </si>
  <si>
    <t xml:space="preserve"> assume landfill to be 19%</t>
  </si>
  <si>
    <t>Y_retired_years</t>
  </si>
  <si>
    <t>Battery retired year</t>
  </si>
  <si>
    <t>Recycled</t>
  </si>
  <si>
    <t>1-Landfill</t>
  </si>
  <si>
    <t>service_life_primary_years</t>
  </si>
  <si>
    <t>Average service life for EV battery</t>
  </si>
  <si>
    <t xml:space="preserve">Remanufacturing </t>
  </si>
  <si>
    <t>Weights for M</t>
  </si>
  <si>
    <t>Weights for R</t>
  </si>
  <si>
    <t>n1</t>
  </si>
  <si>
    <t>r1</t>
  </si>
  <si>
    <t>n2</t>
  </si>
  <si>
    <t>r2</t>
  </si>
  <si>
    <t>E4</t>
  </si>
  <si>
    <t>n3</t>
  </si>
  <si>
    <t>r3</t>
  </si>
  <si>
    <t>E_used_j_1</t>
  </si>
  <si>
    <t>MJ/yr</t>
  </si>
  <si>
    <t>Energy usage function 1</t>
  </si>
  <si>
    <t>Distance</t>
  </si>
  <si>
    <t>miles/vehicle/year</t>
  </si>
  <si>
    <t>n4</t>
  </si>
  <si>
    <t>r4</t>
  </si>
  <si>
    <t>E_used_j_2</t>
  </si>
  <si>
    <t>Energy usage function 2</t>
  </si>
  <si>
    <t>Energy consp</t>
  </si>
  <si>
    <t>kWh/100 miles</t>
  </si>
  <si>
    <t>n5</t>
  </si>
  <si>
    <t>eta0</t>
  </si>
  <si>
    <t>efficiency</t>
  </si>
  <si>
    <t>Efficiency factor</t>
  </si>
  <si>
    <t>table s5</t>
  </si>
  <si>
    <t>Energy/year</t>
  </si>
  <si>
    <t>kWh/year</t>
  </si>
  <si>
    <t>t_j_1</t>
  </si>
  <si>
    <t>Service life function 1</t>
  </si>
  <si>
    <t>MJ/year</t>
  </si>
  <si>
    <t>t_j_2</t>
  </si>
  <si>
    <t>Service life function 2</t>
  </si>
  <si>
    <t>F_j_1</t>
  </si>
  <si>
    <t>Fraction of product for function 1</t>
  </si>
  <si>
    <t>Battery capacity</t>
  </si>
  <si>
    <t>kWh</t>
  </si>
  <si>
    <t>M Catergory</t>
  </si>
  <si>
    <t>References</t>
  </si>
  <si>
    <t>F_j_2</t>
  </si>
  <si>
    <t>Fraction of product for function 2</t>
  </si>
  <si>
    <t>Charging loss</t>
  </si>
  <si>
    <t xml:space="preserve">mre </t>
  </si>
  <si>
    <t>GREET2024 Rev1</t>
  </si>
  <si>
    <t>mwaste</t>
  </si>
  <si>
    <t>I_j_1</t>
  </si>
  <si>
    <t>Importance factor function 1</t>
  </si>
  <si>
    <t>Discharging loss</t>
  </si>
  <si>
    <t>mvir</t>
  </si>
  <si>
    <t xml:space="preserve">kg </t>
  </si>
  <si>
    <t>Table X</t>
  </si>
  <si>
    <t>m natural resources</t>
  </si>
  <si>
    <t>I_j_2</t>
  </si>
  <si>
    <t>Importance factor function 2</t>
  </si>
  <si>
    <t xml:space="preserve">m product </t>
  </si>
  <si>
    <t>QP_ipf</t>
  </si>
  <si>
    <t>Annual energy for production component 1</t>
  </si>
  <si>
    <t>F from GREET2024 Rev1, Table SX</t>
  </si>
  <si>
    <t>m remanufactured</t>
  </si>
  <si>
    <t>QT_ipf</t>
  </si>
  <si>
    <t>Annual energy for transportation 1</t>
  </si>
  <si>
    <t>fp and ft from IEA, IEA. 2023. “Price of Selected Battery Materials and Lithium-Ion Batteries, 2015-2023 – Charts – Data &amp; Statistics.” IEA. https://www.iea.org/data-and-statistics/charts/price-of-selected-battery-materials-and-lithium-ion-batteries-2015-2023.</t>
  </si>
  <si>
    <t>beta_i</t>
  </si>
  <si>
    <t>Proportion of primary fossil energy 1</t>
  </si>
  <si>
    <t xml:space="preserve">Battery weight </t>
  </si>
  <si>
    <t>Truck mJ/ ton.km</t>
  </si>
  <si>
    <t>alpha_pf_el</t>
  </si>
  <si>
    <t>Primary fossil to electricity conversion</t>
  </si>
  <si>
    <t>miles</t>
  </si>
  <si>
    <t>alpha_el_el</t>
  </si>
  <si>
    <t>Electricity to electricity conversion</t>
  </si>
  <si>
    <t>alpha_pf_th</t>
  </si>
  <si>
    <t>Primary fossil to thermal conversion</t>
  </si>
  <si>
    <t>SOF_retired</t>
  </si>
  <si>
    <t>alpha_el_th</t>
  </si>
  <si>
    <t>Electricity to thermal conversion</t>
  </si>
  <si>
    <t>alpha_pf_tr</t>
  </si>
  <si>
    <t>Primary fossil to transport conversion</t>
  </si>
  <si>
    <t>Y_retired</t>
  </si>
  <si>
    <t>m_repurpose (kg)</t>
  </si>
  <si>
    <t>alpha_el_tr</t>
  </si>
  <si>
    <t>Electricity to transport conversion</t>
  </si>
  <si>
    <t>Assuming only hydrometallurgy</t>
  </si>
  <si>
    <t>Generation-side power supply</t>
  </si>
  <si>
    <t>eta_hydro from PCI paper</t>
  </si>
  <si>
    <t>User-side power supply</t>
  </si>
  <si>
    <t>Mobile power supply</t>
  </si>
  <si>
    <t>Reference</t>
  </si>
  <si>
    <t>Fi</t>
  </si>
  <si>
    <t>ri</t>
  </si>
  <si>
    <t>Fi is calculated based on energy values listed below:Raw Material and Manufacturing: 79474.34 MJ (GREET 2024Rev1),Recycling: 8699.95 MJ (GREET2024 Rev1)Logistics: 917.41 MJ (Battery weight - 438 kg, truck energy - 1.3MJ/ton-km. Assuming renewable energy share is 20% in the US, with 10.5% in transportation sector</t>
  </si>
  <si>
    <t xml:space="preserve">mc,i </t>
  </si>
  <si>
    <t>MT/yr</t>
  </si>
  <si>
    <t>https://www.nrel.gov/transportation/li-ion-battery-supply-chain-database</t>
  </si>
  <si>
    <t>Raw Material Extraction</t>
  </si>
  <si>
    <t>mout,c,i</t>
  </si>
  <si>
    <t xml:space="preserve">instate ohio and ouyt of state </t>
  </si>
  <si>
    <t xml:space="preserve">Manufacturing </t>
  </si>
  <si>
    <t>Everbatt 2023</t>
  </si>
  <si>
    <t>Logistics</t>
  </si>
  <si>
    <t>Recycling and EoL</t>
  </si>
  <si>
    <t>Bin, X., &amp; Thakur, J. (2025). Circular economy metrics for batteries: Enhancing sustainability in energy storage systems. Sustainable Production and Consumption, 55, 470-485.</t>
  </si>
  <si>
    <t>Drying of electrode</t>
  </si>
  <si>
    <t>(Cristaldi et al.,</t>
  </si>
  <si>
    <t>Drying room</t>
  </si>
  <si>
    <t>2020)</t>
  </si>
  <si>
    <t>Formation of cells</t>
  </si>
  <si>
    <t>% mass into landfill</t>
  </si>
  <si>
    <t>assumption</t>
  </si>
  <si>
    <t xml:space="preserve">Sintering and Tempering </t>
  </si>
  <si>
    <t>E_manufacturing</t>
  </si>
  <si>
    <t xml:space="preserve">Energy values calculated from GREET 2024 Rev1.2nd life energy is assumed to be same as recycing, however, recycing also includes transportation energy </t>
  </si>
  <si>
    <t>E_recycling</t>
  </si>
  <si>
    <t>E_2nd life</t>
  </si>
  <si>
    <t>Ej</t>
  </si>
  <si>
    <t>tj</t>
  </si>
  <si>
    <t>Fj</t>
  </si>
  <si>
    <t>Ij</t>
  </si>
  <si>
    <t>Assuming vehicle travels 11026 miles/year at 40 Wh/ 100 miles. At stationary conditions, assuming charging efficiency at 90% and discharging efficiency at 95%. Alpha and beta values from Bin, X., &amp; Thakur, J. (2025). Circular economy metrics for batteries: Enhancing sustainability in energy storage systems. Sustainable Production and Consumption, 55, 470-485.</t>
  </si>
  <si>
    <t>Eroad service</t>
  </si>
  <si>
    <t>Estationary</t>
  </si>
  <si>
    <t>Fraction of reused component (%)</t>
  </si>
  <si>
    <t>Fraction of recycled content (%)</t>
  </si>
  <si>
    <t>Collected fraction for reuse (%)</t>
  </si>
  <si>
    <t>Collected ratio for recycling (%)</t>
  </si>
  <si>
    <t>Efficiency of component production (%)</t>
  </si>
  <si>
    <t>Efficiency of feedstock production (%)</t>
  </si>
  <si>
    <t>Fraction of material losses recovered as useful material (feedstock production) (%)</t>
  </si>
  <si>
    <t>Fraction of material losses recovered as useful material (component production) (%)</t>
  </si>
  <si>
    <t>Efficiency of material separation (%)</t>
  </si>
  <si>
    <t>Efficiency of recycling process (%)</t>
  </si>
  <si>
    <t>Utility factor (%)</t>
  </si>
  <si>
    <t>material</t>
  </si>
  <si>
    <t>F_u</t>
  </si>
  <si>
    <t>F_r</t>
  </si>
  <si>
    <t>C_u</t>
  </si>
  <si>
    <t>C_r</t>
  </si>
  <si>
    <t>E_cp</t>
  </si>
  <si>
    <t>E_fp</t>
  </si>
  <si>
    <t>C_fp</t>
  </si>
  <si>
    <t>C_cp</t>
  </si>
  <si>
    <t>E_ms</t>
  </si>
  <si>
    <t>E_rfp</t>
  </si>
  <si>
    <t>X</t>
  </si>
  <si>
    <t>H</t>
  </si>
  <si>
    <t>Molecular weight NMC</t>
  </si>
  <si>
    <t>aluminum was 1 before changed to 0.93</t>
  </si>
  <si>
    <t>GREET 2024 Rev1</t>
  </si>
  <si>
    <t xml:space="preserve">Mass of Steel </t>
  </si>
  <si>
    <t>Mass of Aluminum</t>
  </si>
  <si>
    <t>Total Aluminum</t>
  </si>
  <si>
    <t>Molecular weight</t>
  </si>
  <si>
    <t>Aluminum that can be recycled (module + pack)</t>
  </si>
  <si>
    <t>9.2) Cathode Material Use: ton per ton of  product</t>
  </si>
  <si>
    <t>O Winjobi 2020</t>
  </si>
  <si>
    <t>NCM (ton/ton LiNi0.8Co0.1Mn0.1O2)</t>
  </si>
  <si>
    <t>Section</t>
  </si>
  <si>
    <t>Item</t>
  </si>
  <si>
    <t>BEV_NMC811</t>
  </si>
  <si>
    <t>Ni1/3Co1/3Mn1/3(OH)2</t>
  </si>
  <si>
    <t>Cell components (kg)</t>
  </si>
  <si>
    <t>Active cathode material</t>
  </si>
  <si>
    <t xml:space="preserve">Total Aluminum </t>
  </si>
  <si>
    <t>Ni0.5Co0.2Mn0.3(OH)2</t>
  </si>
  <si>
    <t>Carbon black</t>
  </si>
  <si>
    <t>Ni0.6Co0.2Mn0.2(OH)2</t>
  </si>
  <si>
    <t>Graphite</t>
  </si>
  <si>
    <t>Ni0.8Co0.1Mn0.1(OH)2</t>
  </si>
  <si>
    <t>Binder (PVDF)</t>
  </si>
  <si>
    <t xml:space="preserve">Picostoste - Elligen </t>
  </si>
  <si>
    <t>Ni0.8Co0.15Al0.05(OH)2</t>
  </si>
  <si>
    <t>Ni0.95Co0.025Mn0.025(OH)2</t>
  </si>
  <si>
    <t>Sodium Hydroxide (NaOH)</t>
  </si>
  <si>
    <t>Electrolyte: LiPF6</t>
  </si>
  <si>
    <t>Lithium Hydoxide (LiOH)</t>
  </si>
  <si>
    <t>Electrolyte: Ethylene Carbonate</t>
  </si>
  <si>
    <t>Oxygen (O2)</t>
  </si>
  <si>
    <t>Electrolyte: Dimethyl Carbonate</t>
  </si>
  <si>
    <t>Phosphoric Acid (H3PO4)</t>
  </si>
  <si>
    <t>Plastic: Polypropylene</t>
  </si>
  <si>
    <t>Iron Sulfate (FeSO4)</t>
  </si>
  <si>
    <t>Plastic: Polyethylene</t>
  </si>
  <si>
    <t>Cobalt Oxide (Co3O4)</t>
  </si>
  <si>
    <t>Plastic: Polyethylene Terephthalate</t>
  </si>
  <si>
    <t>Lithium Carbonate (Li2CO3)</t>
  </si>
  <si>
    <t>Subtotal: Cell</t>
  </si>
  <si>
    <t>Iron Oxide (Fe3O4)</t>
  </si>
  <si>
    <t>Module components sans cell (kg)</t>
  </si>
  <si>
    <t>Diammonium Phosphate</t>
  </si>
  <si>
    <t>NMP</t>
  </si>
  <si>
    <t>Mn2O3</t>
  </si>
  <si>
    <t>Insulation</t>
  </si>
  <si>
    <t>Electronic part</t>
  </si>
  <si>
    <t>Subtotal: Module sans cell</t>
  </si>
  <si>
    <t>Pack components sans module (kg)</t>
  </si>
  <si>
    <t>Steel</t>
  </si>
  <si>
    <t>Coolant</t>
  </si>
  <si>
    <t>Subtotal: Pack sans module</t>
  </si>
  <si>
    <t xml:space="preserve">GREET 2024 Rev1 </t>
  </si>
  <si>
    <t>mmbtu/lb</t>
  </si>
  <si>
    <t>kWh/kg</t>
  </si>
  <si>
    <t>mass</t>
  </si>
  <si>
    <t>recovery_rate</t>
  </si>
  <si>
    <t>energy_virgin</t>
  </si>
  <si>
    <t>energy_recycling</t>
  </si>
  <si>
    <t>adp_fossil</t>
  </si>
  <si>
    <t xml:space="preserve">lbs </t>
  </si>
  <si>
    <t xml:space="preserve">Virgin production energy requirement (kWh/kg) </t>
  </si>
  <si>
    <t># Units:</t>
  </si>
  <si>
    <t>(0-1)</t>
  </si>
  <si>
    <t>MJ/kg</t>
  </si>
  <si>
    <t>Recycling energy requirement (kWh/kg)</t>
  </si>
  <si>
    <t># Note: For cell materials energy_recycling is left empty and calculated via mass allocation</t>
  </si>
  <si>
    <t>aluminum</t>
  </si>
  <si>
    <t>cell_total</t>
  </si>
  <si>
    <t>cell_material_LiOH</t>
  </si>
  <si>
    <t>cell_material_Al</t>
  </si>
  <si>
    <t>cell_material_Cu</t>
  </si>
  <si>
    <t>NMC811 Cell Recycling</t>
  </si>
  <si>
    <t>mmbtu/ton</t>
  </si>
  <si>
    <t>cell_material_CoSO4</t>
  </si>
  <si>
    <t>cell_material_NiSO4</t>
  </si>
  <si>
    <t>cell_material_MnSO4</t>
  </si>
  <si>
    <t>Energy consumed for virgin battery production (cells + module +pack)</t>
  </si>
  <si>
    <t>material weight</t>
  </si>
  <si>
    <t>energy consumption</t>
  </si>
  <si>
    <t>energy consumption unit</t>
  </si>
  <si>
    <t>Energy consumption (kWh/kg)</t>
  </si>
  <si>
    <t>Total Energy Consumption (kWh)</t>
  </si>
  <si>
    <t>Cobalt Sulfate (CoSO4)</t>
  </si>
  <si>
    <t>Nickel Sulfate (NiSO4)</t>
  </si>
  <si>
    <t xml:space="preserve">Total </t>
  </si>
  <si>
    <t>Manganese Sulfate (MnSO4)</t>
  </si>
  <si>
    <t>Cell weight</t>
  </si>
  <si>
    <t>Material</t>
  </si>
  <si>
    <t>Material Mass (kg)</t>
  </si>
  <si>
    <t>Note</t>
  </si>
  <si>
    <t>Raw Material</t>
  </si>
  <si>
    <t>Cell-level</t>
  </si>
  <si>
    <t>Recycling energy requiremne tis defined per kg of battery cell recycled. Battery cells weight for a 87 kWh opack is 273 kg</t>
  </si>
  <si>
    <t>LiCO3</t>
  </si>
  <si>
    <t>Al</t>
  </si>
  <si>
    <t>Cu</t>
  </si>
  <si>
    <t>CoSO4</t>
  </si>
  <si>
    <t>NiSO4</t>
  </si>
  <si>
    <t>MnSO4</t>
  </si>
  <si>
    <t>Pack-level</t>
  </si>
  <si>
    <t>Aluminium</t>
  </si>
  <si>
    <t>TOTAL:</t>
  </si>
  <si>
    <t>Totals (kg)</t>
  </si>
  <si>
    <t>Total: Pack</t>
  </si>
  <si>
    <t xml:space="preserve">Steel </t>
  </si>
  <si>
    <t>molecular weight of NiSO4</t>
  </si>
  <si>
    <t>molecular weight of CoSO4</t>
  </si>
  <si>
    <t>molecular weight of MnSO4</t>
  </si>
  <si>
    <t>molecular weight of LiCO3</t>
  </si>
  <si>
    <t>material_name</t>
  </si>
  <si>
    <t>mass_required_kg</t>
  </si>
  <si>
    <t>mass_recycled_kg</t>
  </si>
  <si>
    <t>price_virgin_usd_per_kg</t>
  </si>
  <si>
    <t>price_recycled_usd_per_kg</t>
  </si>
  <si>
    <t>main_open_source_reference</t>
  </si>
  <si>
    <t>USGS 2025; Argonne EverBatt (2023)</t>
  </si>
  <si>
    <t xml:space="preserve">Values old for virgin </t>
  </si>
  <si>
    <t>USGS 2024; EverBatt (2019)</t>
  </si>
  <si>
    <t>graphite</t>
  </si>
  <si>
    <t>Giyani Metals 2022; Argonne EverBatt</t>
  </si>
  <si>
    <t>MIT CEEPR 2025; USGS 2025</t>
  </si>
  <si>
    <t>mass_recycled_kg 70% collection ration</t>
  </si>
  <si>
    <t>mass_recycled_kg 90% collection ration</t>
  </si>
  <si>
    <t>mass_recycled_kg 100% collection ration</t>
  </si>
  <si>
    <t>mass_recycled_kg -5% recycling efficiency</t>
  </si>
  <si>
    <t>mass_recycled_kg given% recycling efficiency</t>
  </si>
  <si>
    <t>mass_recycled_kg +5% recycling efficiency</t>
  </si>
  <si>
    <t>Recycling Efficiency</t>
  </si>
  <si>
    <t>changed from 0.95 to 0.93</t>
  </si>
  <si>
    <t>USGS 2023; Argonne BatPaC (2023)</t>
  </si>
  <si>
    <t>Virgin Material Price ($/kg)</t>
  </si>
  <si>
    <t>Recycled Material Price ($/kg)</t>
  </si>
  <si>
    <t>USGS 2025 (https://pubs.usgs.gov/periodicals/mcs2025/mcs2025-aluminum.pdf) ; Argonne EverBatt (2023)</t>
  </si>
  <si>
    <t>USGS 2024 (https://pubs.usgs.gov/periodicals/mcs2024/mcs2024-cobalt.pdf); EverBatt (2019)</t>
  </si>
  <si>
    <t>USGS 2024 (https://pubs.usgs.gov/periodicals/mcs2024/mcs2024-copper.pdf) ; EverBatt (2023)</t>
  </si>
  <si>
    <t>USGS 2024 (https://pubs.usgs.gov/periodicals/mcs2024/mcs2024-lithium.pdf); EverBatt (2023)</t>
  </si>
  <si>
    <t>Giyani Metals (https://giyanimetals.com/manganese); Argonne EverBatt (2023)</t>
  </si>
  <si>
    <t>USGS 2024 (https://pubs.usgs.gov/periodicals/mcs2024/mcs2024-nickel.pdf); EverBatt (2023)</t>
  </si>
  <si>
    <t>MIT CEEPR 2025 (https://ceepr.mit.edu/wp-content/uploads/2025/09/Online-Technical-Appendix-Building-a-Climate-Coalition.pdf); Everbatt (2023)</t>
  </si>
  <si>
    <t>m_in_virgin</t>
  </si>
  <si>
    <t>m_in_circular</t>
  </si>
  <si>
    <t>m_out_linear</t>
  </si>
  <si>
    <t>m_out_circular</t>
  </si>
  <si>
    <t>ghg_virgin</t>
  </si>
  <si>
    <t>ghg_recycled</t>
  </si>
  <si>
    <t>cells</t>
  </si>
  <si>
    <t>changed recycled copper from 10 to 32%</t>
  </si>
  <si>
    <t>https://internationalcopper.org/wp-content/uploads/2022/02/ICA-RecyclingBrief-202201-A4-R2.pdf</t>
  </si>
  <si>
    <t>Total virgin (cell+module+pack)</t>
  </si>
  <si>
    <t>Graphite/Carbon</t>
  </si>
  <si>
    <t>Virgin Aluminum Sheet (Automotive)</t>
  </si>
  <si>
    <t>Virgin Steel</t>
  </si>
  <si>
    <t>Recycled Steel</t>
  </si>
  <si>
    <t>Recycled Aluminum Sheet (Automotive)</t>
  </si>
  <si>
    <t>Energy Use: mmBtu per ton of material product</t>
  </si>
  <si>
    <t>Energy Use: mmBtu per lb of material product</t>
  </si>
  <si>
    <t>per lb</t>
  </si>
  <si>
    <t xml:space="preserve">     Total energy</t>
  </si>
  <si>
    <t xml:space="preserve">     Fossil fuels</t>
  </si>
  <si>
    <t xml:space="preserve">     Coal</t>
  </si>
  <si>
    <t xml:space="preserve">     Natural gas</t>
  </si>
  <si>
    <t xml:space="preserve">     Petroleum</t>
  </si>
  <si>
    <t>Water consumption (gal/ton)</t>
  </si>
  <si>
    <t>Water consumption</t>
  </si>
  <si>
    <t>Total Emissions: g/ton of material product</t>
  </si>
  <si>
    <t>Total Emissions: grams</t>
  </si>
  <si>
    <t xml:space="preserve">     VOC</t>
  </si>
  <si>
    <t xml:space="preserve">     CO</t>
  </si>
  <si>
    <t xml:space="preserve">     NOx </t>
  </si>
  <si>
    <t xml:space="preserve">     PM10</t>
  </si>
  <si>
    <t>1.4) Process Outputs</t>
  </si>
  <si>
    <t xml:space="preserve">     PM2.5</t>
  </si>
  <si>
    <t>NMC(811)</t>
  </si>
  <si>
    <t xml:space="preserve">     SOx</t>
  </si>
  <si>
    <t xml:space="preserve">     BC</t>
  </si>
  <si>
    <t>Hydrometallurgical processing</t>
  </si>
  <si>
    <t xml:space="preserve">     OC</t>
  </si>
  <si>
    <t>as available in cell</t>
  </si>
  <si>
    <t xml:space="preserve">     CH4</t>
  </si>
  <si>
    <t>Cobalt sulfate (CoSO4)</t>
  </si>
  <si>
    <t xml:space="preserve">     N2O</t>
  </si>
  <si>
    <t xml:space="preserve">     CO2</t>
  </si>
  <si>
    <t>Urban Emissions: g/ton of material product</t>
  </si>
  <si>
    <t xml:space="preserve">     CO2 (VOC, CO, CO2)</t>
  </si>
  <si>
    <t>Lithium carbonate (Li2CO3)</t>
  </si>
  <si>
    <t>gco2-eq/lb</t>
  </si>
  <si>
    <t xml:space="preserve">     GHGs</t>
  </si>
  <si>
    <t>Manganese sulfate (MnSO4)</t>
  </si>
  <si>
    <t>Urban Emissions: grams</t>
  </si>
  <si>
    <t>Nickel sulfate (NiSO4)</t>
  </si>
  <si>
    <t xml:space="preserve">     NOx</t>
  </si>
  <si>
    <t>ghg (g/ton)</t>
  </si>
  <si>
    <t>ghg (kg co2-eq/kg)</t>
  </si>
  <si>
    <t>Virgin materials ghg</t>
  </si>
  <si>
    <t>recycled materials ghg</t>
  </si>
  <si>
    <t>Energy Use: mmBtu per ton of battery cells recycled</t>
  </si>
  <si>
    <t>Water consumption (gal/ton battery cells recycled)</t>
  </si>
  <si>
    <t>Total Emissions: grams per ton of battery cells recycled</t>
  </si>
  <si>
    <t>9.1)  Precursor material use: ton per ton of product</t>
  </si>
  <si>
    <t>Nickel Cobalt Manganese Hydroxide (Ni0.8Co0.1Mn0.1(OH)2)</t>
  </si>
  <si>
    <t>NMC811</t>
  </si>
  <si>
    <t>Sulfuric acid (H2SO4)</t>
  </si>
  <si>
    <t>as recycled (applied recycling efficiency)</t>
  </si>
  <si>
    <t>mass fraction</t>
  </si>
  <si>
    <t>Ammonia (NH3)</t>
  </si>
  <si>
    <t>Ammonium Hydroxide (NH4OH)</t>
  </si>
  <si>
    <t>Hydrochloric Acid (HCl)</t>
  </si>
  <si>
    <t>Aluminum sulfate (Al2(SO4)3)</t>
  </si>
  <si>
    <t>Hydrogen peroxide (H2O2)</t>
  </si>
  <si>
    <t>Soda ash (Na2CO3)</t>
  </si>
  <si>
    <t>ghg (kg co2-eq/kg of recycled battery cell output)</t>
  </si>
  <si>
    <t>Urban Emissions: grams per ton of battery cells recycled</t>
  </si>
  <si>
    <t>Weight of relevant materials for recycling</t>
  </si>
  <si>
    <t xml:space="preserve">Actual weight of battery cells </t>
  </si>
  <si>
    <t>ghg of battery cells recycling in kg</t>
  </si>
  <si>
    <t>ghg (kg co2-eq/kg of battery cells)</t>
  </si>
  <si>
    <t>1) Key Input Parameters (from the Mat_Inputs sheet)</t>
  </si>
  <si>
    <t>1.1) Share of Virgin and Recycled Materials Used in Vehicle for Recycled Content LCA Method</t>
  </si>
  <si>
    <t>Virgin Material Product</t>
  </si>
  <si>
    <t>Recycled Material Product</t>
  </si>
  <si>
    <t>Scrap Material Product</t>
  </si>
  <si>
    <t>Aluminum Extruded (Non-Automotive)</t>
  </si>
  <si>
    <t>Aluminum Sheet (Non-Automotive)</t>
  </si>
  <si>
    <t>Aluminum Foil (Non-Automotive)</t>
  </si>
  <si>
    <t>Aluminum Extrusion (Automotive)</t>
  </si>
  <si>
    <t>Aluminum Sheet (Automotive)</t>
  </si>
  <si>
    <t>Cast Aluminum</t>
  </si>
  <si>
    <t>Lead</t>
  </si>
  <si>
    <t>Magnesium</t>
  </si>
  <si>
    <t>1.2) Recycling Rate for End of Life Recycling LCA Method</t>
  </si>
  <si>
    <t>Recycling Rate at End of Life</t>
  </si>
  <si>
    <t>2) Global Warming Potentials of Greenhouse Gases: relative to CO2</t>
  </si>
  <si>
    <t>Metrics for Carbon Dioxide, Methane, Nitrous Oxide</t>
  </si>
  <si>
    <t>AR Edition/Type</t>
  </si>
  <si>
    <t>AR6/GWP</t>
  </si>
  <si>
    <t>Time Horizon (YR)</t>
  </si>
  <si>
    <t>CO2</t>
  </si>
  <si>
    <t>CH4</t>
  </si>
  <si>
    <t>N2O</t>
  </si>
  <si>
    <t>Metrics for Near Term Climate Forcers</t>
  </si>
  <si>
    <t>VOC</t>
  </si>
  <si>
    <t>CO</t>
  </si>
  <si>
    <t>NOx</t>
  </si>
  <si>
    <t>BC</t>
  </si>
  <si>
    <t>OC</t>
  </si>
  <si>
    <t>B126+SUMPRODUCT(B123:B124,GREET1_Import_Export!$B$51:$B$52)+SUMPRODUCT(B115:B117,GREET1_Import_Export!$B$55:$B$57)+SUMPRODUCT(B121:B122,GREET1_Import_Export!$B$58:$B$59)</t>
  </si>
  <si>
    <t>Recycled material used as feedstock (%)</t>
  </si>
  <si>
    <t>Collection Efficiency for recycling (%)</t>
  </si>
  <si>
    <t>Virgin Material Production GHG (kg co2-eq/kg)</t>
  </si>
  <si>
    <t>Recycled Material Production GHG (kg co2-eq/kg)</t>
  </si>
  <si>
    <t>Lithium Carbonate</t>
  </si>
  <si>
    <t xml:space="preserve">Recycling GHG production is defined per kg of battery cell recycled. Battery cells weight for a 87 kWh of pack is 273 kg. Corresponding Collection efficiency applied </t>
  </si>
  <si>
    <t>Cobalt Sulphate</t>
  </si>
  <si>
    <t>Nickel Sulphate</t>
  </si>
  <si>
    <t>Manganese Sulphate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</si>
</sst>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6100"/>
      <name val="Aptos Narrow"/>
      <family val="2"/>
      <scheme val="minor"/>
    </font>
    <font>
      <b/>
      <sz val="11"/>
      <color theme="1"/>
      <name val="Calibri"/>
      <family val="2"/>
    </font>
    <font>
      <sz val="11"/>
      <color rgb="FFFF00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0"/>
      <name val="Arial"/>
      <family val="2"/>
    </font>
    <font>
      <u/>
      <sz val="11"/>
      <color theme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9" fontId="1" fillId="0" borderId="0"/>
    <xf numFmtId="0" fontId="2" fillId="2" borderId="0"/>
    <xf numFmtId="0" fontId="3" fillId="3" borderId="1"/>
    <xf numFmtId="0" fontId="8" fillId="5" borderId="0"/>
    <xf numFmtId="0" fontId="10" fillId="0" borderId="0"/>
    <xf numFmtId="0" fontId="11" fillId="6" borderId="0"/>
    <xf numFmtId="0" fontId="13" fillId="0" borderId="0"/>
  </cellStyleXfs>
  <cellXfs count="90">
    <xf numFmtId="0" fontId="0" fillId="0" borderId="0" xfId="0"/>
    <xf numFmtId="0" fontId="0" fillId="0" borderId="2" xfId="0" applyBorder="1"/>
    <xf numFmtId="0" fontId="5" fillId="4" borderId="2" xfId="0" applyFont="1" applyFill="1" applyBorder="1"/>
    <xf numFmtId="0" fontId="4" fillId="0" borderId="0" xfId="0" applyFont="1"/>
    <xf numFmtId="0" fontId="6" fillId="0" borderId="2" xfId="0" applyFont="1" applyBorder="1" applyAlignment="1">
      <alignment horizontal="center" vertical="top"/>
    </xf>
    <xf numFmtId="0" fontId="7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9" fontId="0" fillId="0" borderId="0" xfId="1" applyFont="1"/>
    <xf numFmtId="0" fontId="4" fillId="0" borderId="0" xfId="0" applyFont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4" borderId="6" xfId="0" applyFont="1" applyFill="1" applyBorder="1"/>
    <xf numFmtId="0" fontId="4" fillId="4" borderId="2" xfId="0" applyFont="1" applyFill="1" applyBorder="1"/>
    <xf numFmtId="0" fontId="4" fillId="0" borderId="2" xfId="0" applyFont="1" applyBorder="1" applyAlignment="1">
      <alignment horizontal="center" vertical="center" wrapText="1"/>
    </xf>
    <xf numFmtId="0" fontId="3" fillId="3" borderId="1" xfId="3"/>
    <xf numFmtId="0" fontId="0" fillId="0" borderId="2" xfId="0" applyBorder="1" applyAlignment="1">
      <alignment vertical="center" wrapText="1"/>
    </xf>
    <xf numFmtId="10" fontId="0" fillId="0" borderId="2" xfId="0" applyNumberForma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0" fontId="0" fillId="0" borderId="2" xfId="1" applyNumberFormat="1" applyFont="1" applyBorder="1" applyAlignment="1">
      <alignment vertical="center" wrapText="1"/>
    </xf>
    <xf numFmtId="10" fontId="0" fillId="0" borderId="0" xfId="0" applyNumberFormat="1"/>
    <xf numFmtId="0" fontId="2" fillId="2" borderId="0" xfId="2"/>
    <xf numFmtId="0" fontId="0" fillId="0" borderId="0" xfId="0" applyAlignment="1">
      <alignment horizontal="right"/>
    </xf>
    <xf numFmtId="0" fontId="4" fillId="0" borderId="2" xfId="0" applyFont="1" applyBorder="1"/>
    <xf numFmtId="0" fontId="0" fillId="0" borderId="9" xfId="0" applyBorder="1"/>
    <xf numFmtId="0" fontId="4" fillId="0" borderId="2" xfId="0" applyFont="1" applyBorder="1" applyAlignment="1">
      <alignment horizontal="center" vertical="center"/>
    </xf>
    <xf numFmtId="9" fontId="0" fillId="0" borderId="0" xfId="0" applyNumberFormat="1"/>
    <xf numFmtId="0" fontId="0" fillId="0" borderId="10" xfId="0" applyBorder="1"/>
    <xf numFmtId="0" fontId="5" fillId="4" borderId="0" xfId="0" applyFont="1" applyFill="1"/>
    <xf numFmtId="0" fontId="5" fillId="0" borderId="0" xfId="0" applyFont="1"/>
    <xf numFmtId="0" fontId="8" fillId="5" borderId="2" xfId="4" applyBorder="1"/>
    <xf numFmtId="10" fontId="4" fillId="0" borderId="2" xfId="0" applyNumberFormat="1" applyFont="1" applyBorder="1"/>
    <xf numFmtId="0" fontId="0" fillId="0" borderId="7" xfId="0" applyBorder="1"/>
    <xf numFmtId="0" fontId="4" fillId="0" borderId="7" xfId="0" applyFont="1" applyBorder="1"/>
    <xf numFmtId="0" fontId="0" fillId="0" borderId="2" xfId="0" applyBorder="1" applyAlignment="1">
      <alignment vertical="center"/>
    </xf>
    <xf numFmtId="9" fontId="0" fillId="0" borderId="2" xfId="1" applyFont="1" applyBorder="1"/>
    <xf numFmtId="9" fontId="0" fillId="0" borderId="10" xfId="1" applyFont="1" applyBorder="1"/>
    <xf numFmtId="0" fontId="0" fillId="4" borderId="0" xfId="0" applyFill="1"/>
    <xf numFmtId="0" fontId="0" fillId="4" borderId="2" xfId="0" applyFill="1" applyBorder="1"/>
    <xf numFmtId="0" fontId="9" fillId="0" borderId="2" xfId="0" applyFont="1" applyBorder="1" applyAlignment="1">
      <alignment textRotation="45" wrapText="1"/>
    </xf>
    <xf numFmtId="0" fontId="4" fillId="0" borderId="11" xfId="0" applyFont="1" applyBorder="1"/>
    <xf numFmtId="0" fontId="4" fillId="0" borderId="9" xfId="0" applyFont="1" applyBorder="1"/>
    <xf numFmtId="0" fontId="10" fillId="0" borderId="2" xfId="5" applyBorder="1"/>
    <xf numFmtId="0" fontId="10" fillId="0" borderId="0" xfId="5"/>
    <xf numFmtId="9" fontId="8" fillId="5" borderId="0" xfId="4" applyNumberFormat="1"/>
    <xf numFmtId="0" fontId="8" fillId="5" borderId="0" xfId="4"/>
    <xf numFmtId="0" fontId="11" fillId="6" borderId="0" xfId="6"/>
    <xf numFmtId="0" fontId="12" fillId="0" borderId="0" xfId="0" applyFont="1"/>
    <xf numFmtId="0" fontId="11" fillId="6" borderId="2" xfId="6" applyBorder="1"/>
    <xf numFmtId="0" fontId="2" fillId="2" borderId="2" xfId="2" applyBorder="1"/>
    <xf numFmtId="0" fontId="0" fillId="0" borderId="0" xfId="0" applyAlignment="1">
      <alignment wrapText="1"/>
    </xf>
    <xf numFmtId="0" fontId="13" fillId="0" borderId="0" xfId="7"/>
    <xf numFmtId="4" fontId="0" fillId="0" borderId="0" xfId="0" applyNumberFormat="1"/>
    <xf numFmtId="3" fontId="0" fillId="0" borderId="0" xfId="0" applyNumberFormat="1"/>
    <xf numFmtId="0" fontId="10" fillId="6" borderId="12" xfId="6" applyFont="1" applyBorder="1"/>
    <xf numFmtId="2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7" borderId="2" xfId="0" applyFill="1" applyBorder="1"/>
    <xf numFmtId="9" fontId="0" fillId="7" borderId="2" xfId="1" applyFont="1" applyFill="1" applyBorder="1"/>
    <xf numFmtId="2" fontId="0" fillId="7" borderId="2" xfId="0" applyNumberFormat="1" applyFill="1" applyBorder="1"/>
    <xf numFmtId="2" fontId="0" fillId="0" borderId="0" xfId="0" applyNumberFormat="1"/>
    <xf numFmtId="2" fontId="8" fillId="5" borderId="0" xfId="4" applyNumberFormat="1"/>
    <xf numFmtId="2" fontId="11" fillId="6" borderId="0" xfId="6" applyNumberFormat="1"/>
    <xf numFmtId="1" fontId="0" fillId="0" borderId="0" xfId="0" applyNumberFormat="1"/>
    <xf numFmtId="0" fontId="4" fillId="0" borderId="2" xfId="0" applyFont="1" applyBorder="1" applyAlignment="1">
      <alignment wrapText="1"/>
    </xf>
    <xf numFmtId="0" fontId="0" fillId="8" borderId="0" xfId="0" applyFill="1"/>
    <xf numFmtId="0" fontId="5" fillId="8" borderId="0" xfId="0" applyFont="1" applyFill="1" applyAlignment="1">
      <alignment horizontal="center"/>
    </xf>
    <xf numFmtId="9" fontId="0" fillId="8" borderId="0" xfId="0" applyNumberFormat="1" applyFill="1"/>
    <xf numFmtId="0" fontId="11" fillId="8" borderId="0" xfId="6" applyFill="1"/>
    <xf numFmtId="9" fontId="0" fillId="0" borderId="2" xfId="0" applyNumberFormat="1" applyBorder="1"/>
    <xf numFmtId="0" fontId="8" fillId="9" borderId="0" xfId="4" applyFill="1"/>
    <xf numFmtId="9" fontId="0" fillId="9" borderId="0" xfId="0" applyNumberFormat="1" applyFill="1"/>
    <xf numFmtId="0" fontId="0" fillId="9" borderId="0" xfId="0" applyFill="1"/>
    <xf numFmtId="0" fontId="0" fillId="10" borderId="0" xfId="0" applyFill="1"/>
    <xf numFmtId="9" fontId="0" fillId="0" borderId="10" xfId="0" applyNumberFormat="1" applyBorder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9" xfId="0" applyBorder="1"/>
    <xf numFmtId="0" fontId="0" fillId="0" borderId="11" xfId="0" applyBorder="1"/>
    <xf numFmtId="0" fontId="0" fillId="0" borderId="2" xfId="0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8" xfId="0" applyBorder="1"/>
    <xf numFmtId="2" fontId="0" fillId="7" borderId="2" xfId="0" applyNumberFormat="1" applyFill="1" applyBorder="1" applyAlignment="1">
      <alignment horizontal="center"/>
    </xf>
  </cellXfs>
  <cellStyles count="8">
    <cellStyle name="Bad" xfId="2" builtinId="27"/>
    <cellStyle name="Calculation" xfId="3" builtinId="22"/>
    <cellStyle name="Good" xfId="4" builtinId="26"/>
    <cellStyle name="Hyperlink" xfId="7" builtinId="8"/>
    <cellStyle name="Neutral" xfId="6" builtinId="28"/>
    <cellStyle name="Normal" xfId="0" builtinId="0"/>
    <cellStyle name="Percent" xfId="1" builtinId="5"/>
    <cellStyle name="Warning Text" xfId="5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729258</xdr:colOff>
      <xdr:row>71</xdr:row>
      <xdr:rowOff>59531</xdr:rowOff>
    </xdr:from>
    <xdr:to>
      <xdr:col>27</xdr:col>
      <xdr:colOff>667226</xdr:colOff>
      <xdr:row>89</xdr:row>
      <xdr:rowOff>9763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4429EEF4-684C-42F7-8F96-BA66A2F4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257758" y="13613606"/>
          <a:ext cx="6567368" cy="3379232"/>
        </a:xfrm>
        <a:prstGeom prst="rect">
          <a:avLst/>
        </a:prstGeom>
        <a:noFill/>
        <a:ln>
          <a:solidFill>
            <a:schemeClr val="tx1"/>
          </a:solidFill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729258</xdr:colOff>
      <xdr:row>71</xdr:row>
      <xdr:rowOff>59531</xdr:rowOff>
    </xdr:from>
    <xdr:to>
      <xdr:col>27</xdr:col>
      <xdr:colOff>667226</xdr:colOff>
      <xdr:row>89</xdr:row>
      <xdr:rowOff>9763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258008" y="13796367"/>
          <a:ext cx="6560820" cy="3432810"/>
        </a:xfrm>
        <a:prstGeom prst="rect">
          <a:avLst/>
        </a:prstGeom>
        <a:noFill/>
        <a:ln>
          <a:solidFill>
            <a:schemeClr val="tx1"/>
          </a:solidFill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13</xdr:row>
      <xdr:rowOff>66675</xdr:rowOff>
    </xdr:from>
    <xdr:to>
      <xdr:col>9</xdr:col>
      <xdr:colOff>315257</xdr:colOff>
      <xdr:row>25</xdr:row>
      <xdr:rowOff>51502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0" y="2743200"/>
          <a:ext cx="4668182" cy="227082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460133</xdr:colOff>
      <xdr:row>42</xdr:row>
      <xdr:rowOff>161924</xdr:rowOff>
    </xdr:from>
    <xdr:to>
      <xdr:col>7</xdr:col>
      <xdr:colOff>1489934</xdr:colOff>
      <xdr:row>59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36608" y="8572499"/>
          <a:ext cx="6830526" cy="314325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29</xdr:col>
      <xdr:colOff>523635</xdr:colOff>
      <xdr:row>0</xdr:row>
      <xdr:rowOff>0</xdr:rowOff>
    </xdr:from>
    <xdr:to>
      <xdr:col>35</xdr:col>
      <xdr:colOff>67480</xdr:colOff>
      <xdr:row>21</xdr:row>
      <xdr:rowOff>77047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55185" y="0"/>
          <a:ext cx="3906295" cy="410612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160474</xdr:colOff>
      <xdr:row>23</xdr:row>
      <xdr:rowOff>114300</xdr:rowOff>
    </xdr:from>
    <xdr:to>
      <xdr:col>7</xdr:col>
      <xdr:colOff>123825</xdr:colOff>
      <xdr:row>42</xdr:row>
      <xdr:rowOff>14476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474" y="4524375"/>
          <a:ext cx="8040551" cy="351967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45</xdr:col>
      <xdr:colOff>171450</xdr:colOff>
      <xdr:row>0</xdr:row>
      <xdr:rowOff>95250</xdr:rowOff>
    </xdr:from>
    <xdr:to>
      <xdr:col>58</xdr:col>
      <xdr:colOff>272616</xdr:colOff>
      <xdr:row>25</xdr:row>
      <xdr:rowOff>98943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95250" y="95250"/>
          <a:ext cx="8997516" cy="4794768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hyperlink" Target="https://internationalcopper.org/wp-content/uploads/2022/02/ICA-RecyclingBrief-202201-A4-R2.pdf" TargetMode="Externa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hyperlink" Target="https://internationalcopper.org/wp-content/uploads/2022/02/ICA-RecyclingBrief-202201-A4-R2.pdf" TargetMode="External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H51"/>
  <sheetViews>
    <sheetView topLeftCell="I3" workbookViewId="0">
      <selection activeCell="N4" activeCellId="1" sqref="L4:L12 N4:N12"/>
    </sheetView>
  </sheetViews>
  <sheetFormatPr defaultRowHeight="15" x14ac:dyDescent="0.25"/>
  <cols>
    <col min="1" max="1" width="34.140625" bestFit="1" customWidth="1"/>
    <col min="2" max="2" width="23.85546875" bestFit="1" customWidth="1"/>
    <col min="3" max="3" width="32.7109375" bestFit="1" customWidth="1"/>
    <col min="5" max="5" width="33.140625" bestFit="1" customWidth="1"/>
    <col min="6" max="6" width="44.42578125" bestFit="1" customWidth="1"/>
    <col min="7" max="7" width="12.85546875" bestFit="1" customWidth="1"/>
    <col min="8" max="8" width="34.7109375" bestFit="1" customWidth="1"/>
    <col min="9" max="9" width="43.85546875" bestFit="1" customWidth="1"/>
    <col min="10" max="10" width="10.28515625" bestFit="1" customWidth="1"/>
    <col min="12" max="12" width="21.5703125" bestFit="1" customWidth="1"/>
    <col min="14" max="14" width="7" customWidth="1"/>
    <col min="27" max="27" width="9.140625" style="22" customWidth="1"/>
    <col min="29" max="29" width="14.85546875" bestFit="1" customWidth="1"/>
    <col min="30" max="30" width="12" bestFit="1" customWidth="1"/>
    <col min="32" max="32" width="44.85546875" bestFit="1" customWidth="1"/>
    <col min="33" max="33" width="33.140625" bestFit="1" customWidth="1"/>
  </cols>
  <sheetData>
    <row r="3" spans="1:34" ht="288.75" customHeight="1" x14ac:dyDescent="0.25">
      <c r="A3" t="s">
        <v>3</v>
      </c>
      <c r="L3" s="3"/>
      <c r="M3" s="40" t="s">
        <v>360</v>
      </c>
      <c r="N3" s="40" t="s">
        <v>361</v>
      </c>
      <c r="O3" s="40" t="s">
        <v>362</v>
      </c>
      <c r="P3" s="40" t="s">
        <v>363</v>
      </c>
      <c r="Q3" s="40" t="s">
        <v>364</v>
      </c>
      <c r="R3" s="40" t="s">
        <v>365</v>
      </c>
      <c r="S3" s="40" t="s">
        <v>366</v>
      </c>
      <c r="T3" s="40" t="s">
        <v>367</v>
      </c>
      <c r="U3" s="40" t="s">
        <v>368</v>
      </c>
      <c r="V3" s="40" t="s">
        <v>369</v>
      </c>
      <c r="W3" s="40" t="s">
        <v>370</v>
      </c>
    </row>
    <row r="4" spans="1:34" x14ac:dyDescent="0.25">
      <c r="A4" s="1"/>
      <c r="B4" s="1" t="s">
        <v>8</v>
      </c>
      <c r="C4" s="2" t="s">
        <v>8</v>
      </c>
      <c r="F4" t="s">
        <v>2</v>
      </c>
      <c r="L4" s="24" t="s">
        <v>371</v>
      </c>
      <c r="M4" s="41" t="s">
        <v>372</v>
      </c>
      <c r="N4" s="41" t="s">
        <v>373</v>
      </c>
      <c r="O4" s="41" t="s">
        <v>374</v>
      </c>
      <c r="P4" s="41" t="s">
        <v>375</v>
      </c>
      <c r="Q4" s="41" t="s">
        <v>376</v>
      </c>
      <c r="R4" s="41" t="s">
        <v>377</v>
      </c>
      <c r="S4" s="41" t="s">
        <v>378</v>
      </c>
      <c r="T4" s="41" t="s">
        <v>379</v>
      </c>
      <c r="U4" s="41" t="s">
        <v>380</v>
      </c>
      <c r="V4" s="41" t="s">
        <v>381</v>
      </c>
      <c r="W4" s="41" t="s">
        <v>382</v>
      </c>
      <c r="AD4" t="s">
        <v>2</v>
      </c>
      <c r="AF4" s="1"/>
      <c r="AG4" s="1"/>
      <c r="AH4" s="1"/>
    </row>
    <row r="5" spans="1:34" x14ac:dyDescent="0.25">
      <c r="A5" s="1" t="s">
        <v>18</v>
      </c>
      <c r="B5" s="1" t="s">
        <v>19</v>
      </c>
      <c r="C5" s="2" t="s">
        <v>20</v>
      </c>
      <c r="E5" s="15" t="s">
        <v>21</v>
      </c>
      <c r="F5" s="15">
        <f>C11</f>
        <v>53.070283495475152</v>
      </c>
      <c r="H5" s="14" t="s">
        <v>22</v>
      </c>
      <c r="I5" s="14" t="s">
        <v>23</v>
      </c>
      <c r="J5" s="26" t="s">
        <v>24</v>
      </c>
      <c r="L5" s="24" t="s">
        <v>14</v>
      </c>
      <c r="M5" s="1">
        <v>0</v>
      </c>
      <c r="N5" s="1">
        <v>0</v>
      </c>
      <c r="O5" s="1">
        <v>0</v>
      </c>
      <c r="P5" s="1">
        <v>0</v>
      </c>
      <c r="Q5" s="49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AC5" s="15" t="s">
        <v>21</v>
      </c>
      <c r="AD5" s="15">
        <f>C11</f>
        <v>53.070283495475152</v>
      </c>
      <c r="AF5" s="14" t="s">
        <v>22</v>
      </c>
      <c r="AG5" s="14" t="s">
        <v>23</v>
      </c>
      <c r="AH5" s="26" t="s">
        <v>24</v>
      </c>
    </row>
    <row r="6" spans="1:34" x14ac:dyDescent="0.25">
      <c r="A6" s="1" t="s">
        <v>30</v>
      </c>
      <c r="B6" s="1">
        <v>239.9901789948953</v>
      </c>
      <c r="C6" s="1">
        <f t="shared" ref="C6:C25" si="0">B6*0.453592</f>
        <v>108.85762527065255</v>
      </c>
      <c r="E6" s="15" t="s">
        <v>31</v>
      </c>
      <c r="F6" s="15">
        <f>C6*I7</f>
        <v>6.5947495657596873</v>
      </c>
      <c r="H6" s="16" t="s">
        <v>32</v>
      </c>
      <c r="I6" s="16">
        <f>0.8*58.693/I12</f>
        <v>0.482677659104226</v>
      </c>
      <c r="J6" s="20">
        <f>I6</f>
        <v>0.482677659104226</v>
      </c>
      <c r="L6" s="24" t="s">
        <v>27</v>
      </c>
      <c r="M6" s="1">
        <v>0</v>
      </c>
      <c r="N6" s="1">
        <v>0.95</v>
      </c>
      <c r="O6" s="1">
        <v>0</v>
      </c>
      <c r="P6" s="1">
        <v>0.9</v>
      </c>
      <c r="Q6" s="49">
        <v>0.81499999999999995</v>
      </c>
      <c r="R6" s="1">
        <v>0.85</v>
      </c>
      <c r="S6" s="1">
        <v>0.5</v>
      </c>
      <c r="T6" s="1">
        <v>0.5</v>
      </c>
      <c r="U6" s="1">
        <v>0.99</v>
      </c>
      <c r="V6" s="1">
        <v>0.95</v>
      </c>
      <c r="W6" s="1">
        <v>1</v>
      </c>
      <c r="AC6" s="15" t="s">
        <v>31</v>
      </c>
      <c r="AD6" s="15">
        <f>AH28*AG7*C6</f>
        <v>5.4838465925312079</v>
      </c>
      <c r="AF6" s="16" t="s">
        <v>32</v>
      </c>
      <c r="AG6" s="16">
        <f>0.8*58.693/AG12</f>
        <v>0.50840935298926426</v>
      </c>
      <c r="AH6" s="17">
        <v>0.50800000000000001</v>
      </c>
    </row>
    <row r="7" spans="1:34" x14ac:dyDescent="0.25">
      <c r="A7" s="1" t="s">
        <v>38</v>
      </c>
      <c r="B7" s="1">
        <v>167.62599056205451</v>
      </c>
      <c r="C7" s="1">
        <f t="shared" si="0"/>
        <v>76.033808311023435</v>
      </c>
      <c r="E7" s="15" t="s">
        <v>39</v>
      </c>
      <c r="F7" s="15">
        <f>C10</f>
        <v>33.700287372436321</v>
      </c>
      <c r="H7" s="16" t="s">
        <v>40</v>
      </c>
      <c r="I7" s="16">
        <f>0.1*58.933/I12</f>
        <v>6.0581420450456933E-2</v>
      </c>
      <c r="J7" s="20">
        <f>I7</f>
        <v>6.0581420450456933E-2</v>
      </c>
      <c r="L7" s="24" t="s">
        <v>35</v>
      </c>
      <c r="M7" s="1">
        <v>0</v>
      </c>
      <c r="N7" s="50">
        <v>0.93</v>
      </c>
      <c r="O7" s="1">
        <v>0</v>
      </c>
      <c r="P7" s="1">
        <v>0.9</v>
      </c>
      <c r="Q7" s="49">
        <v>0.85</v>
      </c>
      <c r="R7" s="1">
        <v>1</v>
      </c>
      <c r="S7" s="1">
        <v>0.9</v>
      </c>
      <c r="T7" s="1">
        <v>0.9</v>
      </c>
      <c r="U7" s="1">
        <v>0.99</v>
      </c>
      <c r="V7" s="50">
        <v>0.93</v>
      </c>
      <c r="W7" s="1">
        <v>1</v>
      </c>
      <c r="AC7" s="15" t="s">
        <v>39</v>
      </c>
      <c r="AD7" s="15">
        <f>C10</f>
        <v>33.700287372436321</v>
      </c>
      <c r="AF7" s="16" t="s">
        <v>40</v>
      </c>
      <c r="AG7" s="16">
        <f>0.1*58.933/AG12</f>
        <v>6.3811034535030398E-2</v>
      </c>
      <c r="AH7" s="17">
        <v>6.4000000000000001E-2</v>
      </c>
    </row>
    <row r="8" spans="1:34" x14ac:dyDescent="0.25">
      <c r="A8" s="1" t="s">
        <v>46</v>
      </c>
      <c r="B8" s="1">
        <v>0</v>
      </c>
      <c r="C8" s="1">
        <f t="shared" si="0"/>
        <v>0</v>
      </c>
      <c r="E8" s="15" t="s">
        <v>47</v>
      </c>
      <c r="F8" s="15">
        <f>C7</f>
        <v>76.033808311023435</v>
      </c>
      <c r="H8" s="16" t="s">
        <v>48</v>
      </c>
      <c r="I8" s="16">
        <f>0.1*54.938/I12</f>
        <v>5.6474675932112792E-2</v>
      </c>
      <c r="J8" s="20">
        <f>I8</f>
        <v>5.6474675932112792E-2</v>
      </c>
      <c r="L8" s="24" t="s">
        <v>42</v>
      </c>
      <c r="M8" s="1">
        <v>0</v>
      </c>
      <c r="N8" s="1">
        <v>0.96</v>
      </c>
      <c r="O8" s="1">
        <v>0</v>
      </c>
      <c r="P8" s="1">
        <v>0.9</v>
      </c>
      <c r="Q8" s="49">
        <v>0.96</v>
      </c>
      <c r="R8" s="1">
        <v>0.98</v>
      </c>
      <c r="S8" s="1">
        <v>0.5</v>
      </c>
      <c r="T8" s="1">
        <v>0.5</v>
      </c>
      <c r="U8" s="1">
        <v>0.99</v>
      </c>
      <c r="V8" s="1">
        <v>0.96</v>
      </c>
      <c r="W8" s="1">
        <v>1</v>
      </c>
      <c r="AC8" s="15" t="s">
        <v>47</v>
      </c>
      <c r="AD8" s="15">
        <f>C7</f>
        <v>76.033808311023435</v>
      </c>
      <c r="AF8" s="16" t="s">
        <v>48</v>
      </c>
      <c r="AG8" s="16">
        <f>0.1*54.938/AG12</f>
        <v>5.9485358208227986E-2</v>
      </c>
      <c r="AH8" s="17">
        <v>0.06</v>
      </c>
    </row>
    <row r="9" spans="1:34" x14ac:dyDescent="0.25">
      <c r="A9" s="1" t="s">
        <v>54</v>
      </c>
      <c r="B9" s="1">
        <v>8.4054531290482668</v>
      </c>
      <c r="C9" s="1">
        <f t="shared" si="0"/>
        <v>3.8126462957112612</v>
      </c>
      <c r="E9" s="15" t="s">
        <v>55</v>
      </c>
      <c r="F9" s="15">
        <f>C6*I10</f>
        <v>7.7660329503626553</v>
      </c>
      <c r="H9" s="16" t="s">
        <v>56</v>
      </c>
      <c r="I9" s="16">
        <f>2*15.999/I12</f>
        <v>0.32893019048304362</v>
      </c>
      <c r="J9" s="20">
        <f>I9</f>
        <v>0.32893019048304362</v>
      </c>
      <c r="L9" s="24" t="s">
        <v>50</v>
      </c>
      <c r="M9" s="1">
        <v>0</v>
      </c>
      <c r="N9" s="1">
        <v>0.84</v>
      </c>
      <c r="O9" s="1">
        <v>0</v>
      </c>
      <c r="P9" s="1">
        <v>0.9</v>
      </c>
      <c r="Q9" s="49">
        <v>1</v>
      </c>
      <c r="R9" s="1">
        <v>0.45</v>
      </c>
      <c r="S9" s="1">
        <v>0.5</v>
      </c>
      <c r="T9" s="1">
        <v>0.5</v>
      </c>
      <c r="U9" s="1">
        <v>0.99</v>
      </c>
      <c r="V9" s="1">
        <v>0.84</v>
      </c>
      <c r="W9" s="1">
        <v>1</v>
      </c>
      <c r="AC9" s="15" t="s">
        <v>55</v>
      </c>
      <c r="AD9" s="15">
        <f>AH32*AG15*C6</f>
        <v>6.458388459832336</v>
      </c>
      <c r="AF9" s="16" t="s">
        <v>56</v>
      </c>
      <c r="AG9" s="16">
        <f>2*15.999/AG12</f>
        <v>0.34646555971219906</v>
      </c>
      <c r="AH9" s="17">
        <v>0.34699999999999998</v>
      </c>
    </row>
    <row r="10" spans="1:34" x14ac:dyDescent="0.25">
      <c r="A10" s="1" t="s">
        <v>62</v>
      </c>
      <c r="B10" s="1">
        <v>74.296476508484105</v>
      </c>
      <c r="C10" s="1">
        <f t="shared" si="0"/>
        <v>33.700287372436321</v>
      </c>
      <c r="E10" s="15" t="s">
        <v>63</v>
      </c>
      <c r="F10" s="15">
        <f>C6*I8</f>
        <v>6.1476991098994747</v>
      </c>
      <c r="H10" s="16" t="s">
        <v>64</v>
      </c>
      <c r="I10" s="16">
        <f>6.94/I12</f>
        <v>7.1341193885627943E-2</v>
      </c>
      <c r="J10" s="20">
        <f>I10</f>
        <v>7.1341193885627943E-2</v>
      </c>
      <c r="K10" s="21"/>
      <c r="L10" s="32" t="s">
        <v>59</v>
      </c>
      <c r="M10" s="1">
        <v>0</v>
      </c>
      <c r="N10" s="1">
        <v>0.84</v>
      </c>
      <c r="O10" s="1">
        <v>0</v>
      </c>
      <c r="P10" s="1">
        <v>0.9</v>
      </c>
      <c r="Q10" s="49">
        <v>1</v>
      </c>
      <c r="R10" s="1">
        <v>0.94</v>
      </c>
      <c r="S10" s="1">
        <v>0.5</v>
      </c>
      <c r="T10" s="1">
        <v>0.5</v>
      </c>
      <c r="U10" s="1">
        <v>0.99</v>
      </c>
      <c r="V10" s="1">
        <v>0.84</v>
      </c>
      <c r="W10" s="1">
        <v>1</v>
      </c>
      <c r="X10" s="21"/>
      <c r="Y10" s="21"/>
      <c r="Z10" s="21"/>
      <c r="AC10" s="15" t="s">
        <v>63</v>
      </c>
      <c r="AD10" s="15">
        <f>AG8*AH28*C6</f>
        <v>5.1121029660882611</v>
      </c>
      <c r="AF10" s="16" t="s">
        <v>383</v>
      </c>
      <c r="AG10" s="16">
        <f>2*1.008/AG12</f>
        <v>2.1828694555278243E-2</v>
      </c>
      <c r="AH10" s="17">
        <v>2.1999999999999999E-2</v>
      </c>
    </row>
    <row r="11" spans="1:34" x14ac:dyDescent="0.25">
      <c r="A11" s="1" t="s">
        <v>71</v>
      </c>
      <c r="B11" s="1">
        <v>117.0000429802006</v>
      </c>
      <c r="C11" s="1">
        <f t="shared" si="0"/>
        <v>53.070283495475152</v>
      </c>
      <c r="E11" s="15" t="s">
        <v>72</v>
      </c>
      <c r="F11" s="15">
        <f>C6*I6</f>
        <v>52.543143741283608</v>
      </c>
      <c r="L11" s="24" t="s">
        <v>68</v>
      </c>
      <c r="M11" s="1">
        <v>0</v>
      </c>
      <c r="N11" s="1">
        <v>0.84</v>
      </c>
      <c r="O11" s="1">
        <v>0</v>
      </c>
      <c r="P11" s="1">
        <v>0.9</v>
      </c>
      <c r="Q11" s="49">
        <v>1</v>
      </c>
      <c r="R11" s="1">
        <v>0.75</v>
      </c>
      <c r="S11" s="1">
        <v>0.5</v>
      </c>
      <c r="T11" s="1">
        <v>0.5</v>
      </c>
      <c r="U11" s="1">
        <v>0.99</v>
      </c>
      <c r="V11" s="1">
        <v>0.84</v>
      </c>
      <c r="W11" s="1">
        <v>1</v>
      </c>
      <c r="AC11" s="15" t="s">
        <v>72</v>
      </c>
      <c r="AD11" s="15">
        <f>C6*AG6*AH28</f>
        <v>43.692112474224515</v>
      </c>
    </row>
    <row r="12" spans="1:34" x14ac:dyDescent="0.25">
      <c r="A12" s="1" t="s">
        <v>78</v>
      </c>
      <c r="B12" s="1">
        <v>0</v>
      </c>
      <c r="C12" s="1">
        <f t="shared" si="0"/>
        <v>0</v>
      </c>
      <c r="E12" s="15" t="s">
        <v>79</v>
      </c>
      <c r="F12" s="15">
        <f>C20+C21</f>
        <v>99.78615649809818</v>
      </c>
      <c r="H12" s="19" t="s">
        <v>80</v>
      </c>
      <c r="I12">
        <v>97.278999999999996</v>
      </c>
      <c r="L12" s="24" t="s">
        <v>75</v>
      </c>
      <c r="M12" s="1">
        <v>0</v>
      </c>
      <c r="N12" s="1">
        <v>0.91</v>
      </c>
      <c r="O12" s="1">
        <v>0</v>
      </c>
      <c r="P12" s="1">
        <v>0.9</v>
      </c>
      <c r="Q12" s="49">
        <v>1</v>
      </c>
      <c r="R12" s="1">
        <v>0.62</v>
      </c>
      <c r="S12" s="1">
        <v>0.5</v>
      </c>
      <c r="T12" s="1">
        <v>0.5</v>
      </c>
      <c r="U12" s="1">
        <v>0.99</v>
      </c>
      <c r="V12" s="1">
        <v>0.91</v>
      </c>
      <c r="W12" s="1">
        <v>1</v>
      </c>
      <c r="AC12" s="15" t="s">
        <v>79</v>
      </c>
      <c r="AD12" s="15">
        <f>C20+C21</f>
        <v>99.78615649809818</v>
      </c>
      <c r="AF12" s="19" t="s">
        <v>384</v>
      </c>
      <c r="AG12">
        <f>(0.8*58.693)+(0.1*58.933)+(0.1*54.938)+(2*15.999)+(2*1.008)</f>
        <v>92.355500000000006</v>
      </c>
    </row>
    <row r="13" spans="1:34" ht="15.75" customHeight="1" x14ac:dyDescent="0.25">
      <c r="A13" s="1" t="s">
        <v>85</v>
      </c>
      <c r="B13" s="1">
        <v>10.434355608473711</v>
      </c>
      <c r="C13" s="1">
        <f t="shared" si="0"/>
        <v>4.7329402291588076</v>
      </c>
    </row>
    <row r="14" spans="1:34" ht="30" customHeight="1" x14ac:dyDescent="0.25">
      <c r="A14" s="1" t="s">
        <v>89</v>
      </c>
      <c r="B14" s="1">
        <v>28.9843211346492</v>
      </c>
      <c r="C14" s="1">
        <f t="shared" si="0"/>
        <v>13.147056192107799</v>
      </c>
      <c r="F14">
        <f>SUM(F5:F13)</f>
        <v>335.64216104433848</v>
      </c>
      <c r="L14" t="s">
        <v>385</v>
      </c>
      <c r="Q14">
        <f>AVERAGE(Q5:Q12)</f>
        <v>0.828125</v>
      </c>
      <c r="AF14" s="14" t="s">
        <v>22</v>
      </c>
      <c r="AG14" s="14" t="s">
        <v>23</v>
      </c>
      <c r="AH14" s="14" t="s">
        <v>24</v>
      </c>
    </row>
    <row r="15" spans="1:34" x14ac:dyDescent="0.25">
      <c r="A15" s="1" t="s">
        <v>93</v>
      </c>
      <c r="B15" s="1">
        <v>28.9843211346492</v>
      </c>
      <c r="C15" s="1">
        <f t="shared" si="0"/>
        <v>13.147056192107799</v>
      </c>
      <c r="F15">
        <f>F6+F9+F10+F11</f>
        <v>73.051625367305419</v>
      </c>
      <c r="M15" s="27">
        <v>-0.05</v>
      </c>
      <c r="O15" s="27">
        <v>0.05</v>
      </c>
      <c r="S15">
        <v>0</v>
      </c>
      <c r="T15">
        <v>0</v>
      </c>
      <c r="U15" s="1">
        <v>0</v>
      </c>
      <c r="AF15" s="16" t="s">
        <v>64</v>
      </c>
      <c r="AG15" s="16">
        <f>6.94 / AG20</f>
        <v>0.28980665636614195</v>
      </c>
      <c r="AH15" s="17">
        <v>0.28899999999999998</v>
      </c>
    </row>
    <row r="16" spans="1:34" x14ac:dyDescent="0.25">
      <c r="A16" s="1" t="s">
        <v>104</v>
      </c>
      <c r="B16" s="1">
        <v>0.77291523025731201</v>
      </c>
      <c r="C16" s="1">
        <f t="shared" si="0"/>
        <v>0.35058816512287466</v>
      </c>
      <c r="E16" s="3" t="s">
        <v>386</v>
      </c>
      <c r="M16">
        <f t="shared" ref="M16:M22" si="1">0.95*N16</f>
        <v>0.90249999999999997</v>
      </c>
      <c r="N16" s="1">
        <v>0.95</v>
      </c>
      <c r="O16">
        <f t="shared" ref="O16:O22" si="2">N16*1.05</f>
        <v>0.99749999999999994</v>
      </c>
      <c r="S16">
        <v>0.7</v>
      </c>
      <c r="T16">
        <v>0.9</v>
      </c>
      <c r="U16" s="1">
        <v>1</v>
      </c>
      <c r="AF16" s="16" t="s">
        <v>56</v>
      </c>
      <c r="AG16" s="16">
        <f>15.999/AG20</f>
        <v>0.66810038835762309</v>
      </c>
      <c r="AH16" s="17">
        <v>0.66800000000000004</v>
      </c>
    </row>
    <row r="17" spans="1:34" x14ac:dyDescent="0.25">
      <c r="A17" s="1" t="s">
        <v>107</v>
      </c>
      <c r="B17" s="1">
        <v>5.9900930344941683</v>
      </c>
      <c r="C17" s="1">
        <f t="shared" si="0"/>
        <v>2.7170582797022789</v>
      </c>
      <c r="E17" s="1" t="s">
        <v>387</v>
      </c>
      <c r="F17" s="13">
        <f>C20+C21</f>
        <v>99.78615649809818</v>
      </c>
      <c r="M17">
        <f t="shared" si="1"/>
        <v>0.88349999999999995</v>
      </c>
      <c r="N17" s="50">
        <v>0.93</v>
      </c>
      <c r="O17">
        <f t="shared" si="2"/>
        <v>0.97650000000000015</v>
      </c>
      <c r="S17">
        <v>0.7</v>
      </c>
      <c r="T17">
        <v>0.9</v>
      </c>
      <c r="U17" s="1">
        <v>1</v>
      </c>
      <c r="AF17" s="16" t="s">
        <v>383</v>
      </c>
      <c r="AG17" s="16">
        <f>1.008 / AG20</f>
        <v>4.2092955276235022E-2</v>
      </c>
      <c r="AH17" s="17">
        <v>4.2000000000000003E-2</v>
      </c>
    </row>
    <row r="18" spans="1:34" x14ac:dyDescent="0.25">
      <c r="A18" s="1" t="s">
        <v>109</v>
      </c>
      <c r="B18" s="1">
        <v>8.9851395517412502</v>
      </c>
      <c r="C18" s="1">
        <f t="shared" si="0"/>
        <v>4.0755874195534174</v>
      </c>
      <c r="E18" s="1" t="s">
        <v>388</v>
      </c>
      <c r="F18" s="13">
        <f>G21</f>
        <v>41.480454275120579</v>
      </c>
      <c r="M18">
        <f t="shared" si="1"/>
        <v>0.91199999999999992</v>
      </c>
      <c r="N18" s="1">
        <v>0.96</v>
      </c>
      <c r="O18">
        <f t="shared" si="2"/>
        <v>1.008</v>
      </c>
      <c r="S18">
        <v>0.7</v>
      </c>
      <c r="T18">
        <v>0.9</v>
      </c>
      <c r="U18" s="1">
        <v>1</v>
      </c>
    </row>
    <row r="19" spans="1:34" x14ac:dyDescent="0.25">
      <c r="A19" s="1" t="s">
        <v>111</v>
      </c>
      <c r="B19" s="1">
        <v>1.6424448642967879</v>
      </c>
      <c r="C19" s="1">
        <f t="shared" si="0"/>
        <v>0.74499985088610865</v>
      </c>
      <c r="M19">
        <f t="shared" si="1"/>
        <v>0.79799999999999993</v>
      </c>
      <c r="N19" s="1">
        <v>0.84</v>
      </c>
      <c r="O19">
        <f t="shared" si="2"/>
        <v>0.88200000000000001</v>
      </c>
      <c r="S19">
        <v>0.7</v>
      </c>
      <c r="T19">
        <v>0.9</v>
      </c>
      <c r="U19" s="1">
        <v>1</v>
      </c>
    </row>
    <row r="20" spans="1:34" x14ac:dyDescent="0.25">
      <c r="A20" s="1" t="s">
        <v>115</v>
      </c>
      <c r="B20" s="1">
        <v>156.90179174223431</v>
      </c>
      <c r="C20" s="1">
        <f t="shared" si="0"/>
        <v>71.169397519943544</v>
      </c>
      <c r="F20" t="s">
        <v>389</v>
      </c>
      <c r="G20">
        <f>C11</f>
        <v>53.070283495475152</v>
      </c>
      <c r="M20">
        <f t="shared" si="1"/>
        <v>0.79799999999999993</v>
      </c>
      <c r="N20" s="1">
        <v>0.84</v>
      </c>
      <c r="O20">
        <f t="shared" si="2"/>
        <v>0.88200000000000001</v>
      </c>
      <c r="S20">
        <v>0.7</v>
      </c>
      <c r="T20">
        <v>0.9</v>
      </c>
      <c r="U20" s="1">
        <v>1</v>
      </c>
      <c r="AF20" s="18" t="s">
        <v>390</v>
      </c>
      <c r="AG20">
        <f>6.94+15.999+1.008</f>
        <v>23.946999999999999</v>
      </c>
    </row>
    <row r="21" spans="1:34" x14ac:dyDescent="0.25">
      <c r="A21" s="1" t="s">
        <v>120</v>
      </c>
      <c r="B21" s="1">
        <v>63.089205669753078</v>
      </c>
      <c r="C21" s="1">
        <f t="shared" si="0"/>
        <v>28.616758978154639</v>
      </c>
      <c r="F21" s="3" t="s">
        <v>391</v>
      </c>
      <c r="G21">
        <f>K27*G20</f>
        <v>41.480454275120579</v>
      </c>
      <c r="M21">
        <f t="shared" si="1"/>
        <v>0.79799999999999993</v>
      </c>
      <c r="N21" s="1">
        <v>0.84</v>
      </c>
      <c r="O21">
        <f t="shared" si="2"/>
        <v>0.88200000000000001</v>
      </c>
      <c r="S21">
        <v>0.7</v>
      </c>
      <c r="T21">
        <v>0.9</v>
      </c>
      <c r="U21" s="1">
        <v>1</v>
      </c>
    </row>
    <row r="22" spans="1:34" x14ac:dyDescent="0.25">
      <c r="A22" s="1" t="s">
        <v>125</v>
      </c>
      <c r="B22" s="1">
        <v>0.28984321134649199</v>
      </c>
      <c r="C22" s="1">
        <f t="shared" si="0"/>
        <v>0.13147056192107801</v>
      </c>
      <c r="M22">
        <f t="shared" si="1"/>
        <v>0.86449999999999994</v>
      </c>
      <c r="N22" s="1">
        <v>0.91</v>
      </c>
      <c r="O22">
        <f t="shared" si="2"/>
        <v>0.95550000000000013</v>
      </c>
      <c r="S22">
        <v>0.7</v>
      </c>
      <c r="T22">
        <v>0.9</v>
      </c>
      <c r="U22" s="1">
        <v>1</v>
      </c>
    </row>
    <row r="23" spans="1:34" x14ac:dyDescent="0.25">
      <c r="A23" s="1" t="s">
        <v>130</v>
      </c>
      <c r="B23" s="1">
        <v>3.574732939940068</v>
      </c>
      <c r="C23" s="1">
        <f t="shared" si="0"/>
        <v>1.6214702636932954</v>
      </c>
      <c r="AF23" t="s">
        <v>392</v>
      </c>
    </row>
    <row r="24" spans="1:34" x14ac:dyDescent="0.25">
      <c r="A24" s="1" t="s">
        <v>136</v>
      </c>
      <c r="B24" s="1">
        <v>39.998363165815903</v>
      </c>
      <c r="C24" s="1">
        <f t="shared" si="0"/>
        <v>18.142937545108765</v>
      </c>
      <c r="E24" t="s">
        <v>393</v>
      </c>
      <c r="AG24" s="1" t="s">
        <v>394</v>
      </c>
    </row>
    <row r="25" spans="1:34" x14ac:dyDescent="0.25">
      <c r="A25" s="1" t="s">
        <v>140</v>
      </c>
      <c r="B25" s="1">
        <v>9.1783683593055336</v>
      </c>
      <c r="C25" s="1">
        <f t="shared" si="0"/>
        <v>4.1632344608341159</v>
      </c>
      <c r="E25" s="4" t="s">
        <v>395</v>
      </c>
      <c r="F25" s="4" t="s">
        <v>396</v>
      </c>
      <c r="G25" s="4" t="s">
        <v>397</v>
      </c>
      <c r="I25" s="3" t="s">
        <v>393</v>
      </c>
      <c r="AF25" s="1" t="s">
        <v>398</v>
      </c>
      <c r="AG25" s="1">
        <v>0</v>
      </c>
      <c r="AH25">
        <f t="shared" ref="AH25:AH41" si="3">AG25/$AG$43</f>
        <v>0</v>
      </c>
    </row>
    <row r="26" spans="1:34" x14ac:dyDescent="0.25">
      <c r="E26" t="s">
        <v>399</v>
      </c>
      <c r="F26" t="s">
        <v>400</v>
      </c>
      <c r="G26">
        <v>89.81</v>
      </c>
      <c r="I26" s="5" t="s">
        <v>401</v>
      </c>
      <c r="J26">
        <f>G31+G40+G46</f>
        <v>52.429999999999993</v>
      </c>
      <c r="AF26" s="1" t="s">
        <v>402</v>
      </c>
      <c r="AG26" s="1">
        <v>0</v>
      </c>
      <c r="AH26">
        <f t="shared" si="3"/>
        <v>0</v>
      </c>
    </row>
    <row r="27" spans="1:34" x14ac:dyDescent="0.25">
      <c r="E27" t="s">
        <v>399</v>
      </c>
      <c r="F27" t="s">
        <v>403</v>
      </c>
      <c r="G27">
        <v>4.99</v>
      </c>
      <c r="I27" s="6" t="s">
        <v>391</v>
      </c>
      <c r="J27">
        <f>G40+G46</f>
        <v>40.98</v>
      </c>
      <c r="K27" s="7">
        <f>J27/J26</f>
        <v>0.78161358001144388</v>
      </c>
      <c r="L27" s="7"/>
      <c r="X27" s="7"/>
      <c r="Y27" s="7"/>
      <c r="Z27" s="7"/>
      <c r="AF27" s="1" t="s">
        <v>404</v>
      </c>
      <c r="AG27" s="1">
        <v>0</v>
      </c>
      <c r="AH27">
        <f t="shared" si="3"/>
        <v>0</v>
      </c>
    </row>
    <row r="28" spans="1:34" x14ac:dyDescent="0.25">
      <c r="E28" t="s">
        <v>399</v>
      </c>
      <c r="F28" t="s">
        <v>405</v>
      </c>
      <c r="G28">
        <v>64.599999999999994</v>
      </c>
      <c r="I28" s="6"/>
      <c r="AF28" s="1" t="s">
        <v>406</v>
      </c>
      <c r="AG28" s="1">
        <v>0.94942382220211996</v>
      </c>
      <c r="AH28">
        <f t="shared" si="3"/>
        <v>0.78946095482233436</v>
      </c>
    </row>
    <row r="29" spans="1:34" x14ac:dyDescent="0.25">
      <c r="E29" t="s">
        <v>399</v>
      </c>
      <c r="F29" t="s">
        <v>407</v>
      </c>
      <c r="G29">
        <v>6.31</v>
      </c>
      <c r="I29" s="8" t="s">
        <v>408</v>
      </c>
      <c r="AF29" s="1" t="s">
        <v>409</v>
      </c>
      <c r="AG29" s="1">
        <v>0</v>
      </c>
      <c r="AH29">
        <f t="shared" si="3"/>
        <v>0</v>
      </c>
    </row>
    <row r="30" spans="1:34" x14ac:dyDescent="0.25">
      <c r="E30" t="s">
        <v>399</v>
      </c>
      <c r="F30" t="s">
        <v>49</v>
      </c>
      <c r="G30">
        <v>20.059999999999999</v>
      </c>
      <c r="I30" s="6" t="s">
        <v>389</v>
      </c>
      <c r="J30">
        <v>45.5</v>
      </c>
      <c r="AF30" s="1" t="s">
        <v>410</v>
      </c>
      <c r="AG30" s="1">
        <v>0</v>
      </c>
      <c r="AH30">
        <f t="shared" si="3"/>
        <v>0</v>
      </c>
    </row>
    <row r="31" spans="1:34" x14ac:dyDescent="0.25">
      <c r="E31" t="s">
        <v>399</v>
      </c>
      <c r="F31" t="s">
        <v>65</v>
      </c>
      <c r="G31">
        <v>11.45</v>
      </c>
      <c r="I31" s="6" t="s">
        <v>391</v>
      </c>
      <c r="J31">
        <f>28.7+9.3</f>
        <v>38</v>
      </c>
      <c r="K31" s="7">
        <f>J31/J30</f>
        <v>0.8351648351648352</v>
      </c>
      <c r="L31" s="7"/>
      <c r="X31" s="7"/>
      <c r="Y31" s="7"/>
      <c r="Z31" s="7"/>
      <c r="AF31" s="1" t="s">
        <v>411</v>
      </c>
      <c r="AG31" s="1">
        <v>0</v>
      </c>
      <c r="AH31">
        <f t="shared" si="3"/>
        <v>0</v>
      </c>
    </row>
    <row r="32" spans="1:34" x14ac:dyDescent="0.25">
      <c r="E32" t="s">
        <v>399</v>
      </c>
      <c r="F32" t="s">
        <v>412</v>
      </c>
      <c r="G32">
        <v>3.96</v>
      </c>
      <c r="AF32" s="1" t="s">
        <v>413</v>
      </c>
      <c r="AG32" s="1">
        <v>0.246199076881958</v>
      </c>
      <c r="AH32">
        <f t="shared" si="3"/>
        <v>0.20471843424024616</v>
      </c>
    </row>
    <row r="33" spans="5:34" x14ac:dyDescent="0.25">
      <c r="E33" t="s">
        <v>399</v>
      </c>
      <c r="F33" t="s">
        <v>414</v>
      </c>
      <c r="G33">
        <v>11.05</v>
      </c>
      <c r="AF33" s="1" t="s">
        <v>415</v>
      </c>
      <c r="AG33" s="1">
        <v>0</v>
      </c>
      <c r="AH33">
        <f t="shared" si="3"/>
        <v>0</v>
      </c>
    </row>
    <row r="34" spans="5:34" x14ac:dyDescent="0.25">
      <c r="E34" t="s">
        <v>399</v>
      </c>
      <c r="F34" t="s">
        <v>416</v>
      </c>
      <c r="G34">
        <v>11.05</v>
      </c>
      <c r="AF34" s="1" t="s">
        <v>417</v>
      </c>
      <c r="AG34" s="1">
        <v>0</v>
      </c>
      <c r="AH34">
        <f t="shared" si="3"/>
        <v>0</v>
      </c>
    </row>
    <row r="35" spans="5:34" x14ac:dyDescent="0.25">
      <c r="E35" t="s">
        <v>399</v>
      </c>
      <c r="F35" t="s">
        <v>418</v>
      </c>
      <c r="G35">
        <v>2.1800000000000002</v>
      </c>
      <c r="AF35" s="1" t="s">
        <v>419</v>
      </c>
      <c r="AG35" s="1">
        <v>0</v>
      </c>
      <c r="AH35">
        <f t="shared" si="3"/>
        <v>0</v>
      </c>
    </row>
    <row r="36" spans="5:34" x14ac:dyDescent="0.25">
      <c r="E36" t="s">
        <v>399</v>
      </c>
      <c r="F36" t="s">
        <v>420</v>
      </c>
      <c r="G36">
        <v>0.48</v>
      </c>
      <c r="AF36" s="1" t="s">
        <v>421</v>
      </c>
      <c r="AG36" s="1">
        <v>0</v>
      </c>
      <c r="AH36">
        <f t="shared" si="3"/>
        <v>0</v>
      </c>
    </row>
    <row r="37" spans="5:34" x14ac:dyDescent="0.25">
      <c r="E37" t="s">
        <v>399</v>
      </c>
      <c r="F37" t="s">
        <v>422</v>
      </c>
      <c r="G37">
        <v>0.56000000000000005</v>
      </c>
      <c r="AF37" s="1" t="s">
        <v>423</v>
      </c>
      <c r="AG37" s="1">
        <v>0</v>
      </c>
      <c r="AH37">
        <f t="shared" si="3"/>
        <v>0</v>
      </c>
    </row>
    <row r="38" spans="5:34" x14ac:dyDescent="0.25">
      <c r="E38" t="s">
        <v>399</v>
      </c>
      <c r="F38" t="s">
        <v>424</v>
      </c>
      <c r="G38">
        <v>226.49</v>
      </c>
      <c r="AF38" s="1" t="s">
        <v>425</v>
      </c>
      <c r="AG38" s="1">
        <v>0</v>
      </c>
      <c r="AH38">
        <f t="shared" si="3"/>
        <v>0</v>
      </c>
    </row>
    <row r="39" spans="5:34" x14ac:dyDescent="0.25">
      <c r="E39" t="s">
        <v>426</v>
      </c>
      <c r="F39" t="s">
        <v>49</v>
      </c>
      <c r="G39">
        <v>0.43</v>
      </c>
      <c r="AF39" s="1" t="s">
        <v>427</v>
      </c>
      <c r="AG39" s="1">
        <v>0</v>
      </c>
      <c r="AH39">
        <f t="shared" si="3"/>
        <v>0</v>
      </c>
    </row>
    <row r="40" spans="5:34" x14ac:dyDescent="0.25">
      <c r="E40" t="s">
        <v>426</v>
      </c>
      <c r="F40" t="s">
        <v>65</v>
      </c>
      <c r="G40">
        <v>11.42</v>
      </c>
      <c r="AF40" s="1" t="s">
        <v>428</v>
      </c>
      <c r="AG40" s="1">
        <v>7.0000000000000001E-3</v>
      </c>
      <c r="AH40">
        <f t="shared" si="3"/>
        <v>5.8206109374195573E-3</v>
      </c>
    </row>
    <row r="41" spans="5:34" x14ac:dyDescent="0.25">
      <c r="E41" t="s">
        <v>426</v>
      </c>
      <c r="F41" t="s">
        <v>420</v>
      </c>
      <c r="G41">
        <v>0.13</v>
      </c>
      <c r="AF41" s="1" t="s">
        <v>429</v>
      </c>
      <c r="AG41" s="1">
        <v>0</v>
      </c>
      <c r="AH41">
        <f t="shared" si="3"/>
        <v>0</v>
      </c>
    </row>
    <row r="42" spans="5:34" x14ac:dyDescent="0.25">
      <c r="E42" t="s">
        <v>426</v>
      </c>
      <c r="F42" t="s">
        <v>430</v>
      </c>
      <c r="G42">
        <v>0.11</v>
      </c>
    </row>
    <row r="43" spans="5:34" x14ac:dyDescent="0.25">
      <c r="E43" t="s">
        <v>426</v>
      </c>
      <c r="F43" t="s">
        <v>431</v>
      </c>
      <c r="G43">
        <v>1.1200000000000001</v>
      </c>
      <c r="AG43">
        <f>SUM(AG25:AG41)</f>
        <v>1.2026228990840779</v>
      </c>
    </row>
    <row r="44" spans="5:34" x14ac:dyDescent="0.25">
      <c r="E44" t="s">
        <v>426</v>
      </c>
      <c r="F44" t="s">
        <v>432</v>
      </c>
      <c r="G44">
        <v>13.2</v>
      </c>
    </row>
    <row r="45" spans="5:34" x14ac:dyDescent="0.25">
      <c r="E45" t="s">
        <v>433</v>
      </c>
      <c r="F45" t="s">
        <v>49</v>
      </c>
      <c r="G45">
        <v>0.09</v>
      </c>
    </row>
    <row r="46" spans="5:34" x14ac:dyDescent="0.25">
      <c r="E46" t="s">
        <v>433</v>
      </c>
      <c r="F46" t="s">
        <v>65</v>
      </c>
      <c r="G46">
        <v>29.56</v>
      </c>
    </row>
    <row r="47" spans="5:34" x14ac:dyDescent="0.25">
      <c r="E47" t="s">
        <v>433</v>
      </c>
      <c r="F47" t="s">
        <v>434</v>
      </c>
      <c r="G47">
        <v>1.78</v>
      </c>
    </row>
    <row r="48" spans="5:34" x14ac:dyDescent="0.25">
      <c r="E48" t="s">
        <v>433</v>
      </c>
      <c r="F48" t="s">
        <v>430</v>
      </c>
      <c r="G48">
        <v>0.94</v>
      </c>
    </row>
    <row r="49" spans="5:7" x14ac:dyDescent="0.25">
      <c r="E49" t="s">
        <v>433</v>
      </c>
      <c r="F49" t="s">
        <v>435</v>
      </c>
      <c r="G49">
        <v>8.4700000000000006</v>
      </c>
    </row>
    <row r="50" spans="5:7" x14ac:dyDescent="0.25">
      <c r="E50" t="s">
        <v>433</v>
      </c>
      <c r="F50" t="s">
        <v>431</v>
      </c>
      <c r="G50">
        <v>4.22</v>
      </c>
    </row>
    <row r="51" spans="5:7" x14ac:dyDescent="0.25">
      <c r="E51" t="s">
        <v>433</v>
      </c>
      <c r="F51" t="s">
        <v>436</v>
      </c>
      <c r="G51">
        <v>45.06</v>
      </c>
    </row>
  </sheetData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4"/>
  <sheetViews>
    <sheetView topLeftCell="J1" workbookViewId="0">
      <selection activeCell="W6" sqref="W6"/>
    </sheetView>
  </sheetViews>
  <sheetFormatPr defaultRowHeight="15" x14ac:dyDescent="0.25"/>
  <cols>
    <col min="1" max="1" width="34.140625" bestFit="1" customWidth="1"/>
    <col min="2" max="2" width="23.85546875" bestFit="1" customWidth="1"/>
    <col min="3" max="3" width="32.7109375" bestFit="1" customWidth="1"/>
    <col min="6" max="6" width="33.140625" bestFit="1" customWidth="1"/>
    <col min="7" max="7" width="43.85546875" bestFit="1" customWidth="1"/>
    <col min="8" max="8" width="12.85546875" bestFit="1" customWidth="1"/>
    <col min="10" max="10" width="43.85546875" bestFit="1" customWidth="1"/>
    <col min="13" max="13" width="10" bestFit="1" customWidth="1"/>
    <col min="14" max="14" width="43.5703125" bestFit="1" customWidth="1"/>
    <col min="15" max="15" width="48.42578125" bestFit="1" customWidth="1"/>
    <col min="16" max="16" width="19.140625" bestFit="1" customWidth="1"/>
    <col min="17" max="17" width="23.140625" bestFit="1" customWidth="1"/>
    <col min="18" max="18" width="27.85546875" bestFit="1" customWidth="1"/>
    <col min="19" max="19" width="30.28515625" bestFit="1" customWidth="1"/>
  </cols>
  <sheetData>
    <row r="2" spans="1:31" x14ac:dyDescent="0.25">
      <c r="A2" t="s">
        <v>437</v>
      </c>
      <c r="F2" s="3" t="s">
        <v>386</v>
      </c>
      <c r="N2" s="3" t="s">
        <v>386</v>
      </c>
    </row>
    <row r="3" spans="1:31" x14ac:dyDescent="0.25">
      <c r="A3" s="1"/>
      <c r="B3" s="1" t="s">
        <v>8</v>
      </c>
      <c r="C3" s="2" t="s">
        <v>8</v>
      </c>
      <c r="F3" s="1" t="s">
        <v>387</v>
      </c>
      <c r="G3" s="13">
        <f>C19+C20</f>
        <v>99.78615649809818</v>
      </c>
      <c r="N3" s="1" t="s">
        <v>434</v>
      </c>
      <c r="O3" s="1" t="s">
        <v>438</v>
      </c>
      <c r="P3" s="1" t="s">
        <v>439</v>
      </c>
      <c r="V3" t="s">
        <v>371</v>
      </c>
      <c r="W3" t="s">
        <v>440</v>
      </c>
      <c r="X3" t="s">
        <v>441</v>
      </c>
      <c r="Y3" t="s">
        <v>442</v>
      </c>
      <c r="Z3" t="s">
        <v>443</v>
      </c>
      <c r="AA3" t="s">
        <v>444</v>
      </c>
    </row>
    <row r="4" spans="1:31" x14ac:dyDescent="0.25">
      <c r="A4" s="1" t="s">
        <v>18</v>
      </c>
      <c r="B4" s="1" t="s">
        <v>445</v>
      </c>
      <c r="C4" s="2" t="s">
        <v>20</v>
      </c>
      <c r="F4" s="1" t="s">
        <v>388</v>
      </c>
      <c r="G4" s="13">
        <f>H7</f>
        <v>41.480454275120579</v>
      </c>
      <c r="N4" s="1" t="s">
        <v>446</v>
      </c>
      <c r="O4" s="1">
        <v>1.4602806539523609E-2</v>
      </c>
      <c r="P4" s="1">
        <f>O4*293.07107</f>
        <v>4.2796601375411818</v>
      </c>
      <c r="V4" t="s">
        <v>447</v>
      </c>
      <c r="W4" t="s">
        <v>2</v>
      </c>
      <c r="X4" t="s">
        <v>448</v>
      </c>
      <c r="Y4" t="s">
        <v>439</v>
      </c>
      <c r="Z4" t="s">
        <v>439</v>
      </c>
      <c r="AA4" t="s">
        <v>449</v>
      </c>
    </row>
    <row r="5" spans="1:31" x14ac:dyDescent="0.25">
      <c r="A5" s="1" t="s">
        <v>30</v>
      </c>
      <c r="B5" s="1">
        <v>239.9901789948953</v>
      </c>
      <c r="C5" s="1">
        <f t="shared" ref="C5:C24" si="0">B5*0.453592</f>
        <v>108.85762527065255</v>
      </c>
      <c r="N5" s="1" t="s">
        <v>450</v>
      </c>
      <c r="O5" s="1">
        <v>4.6802945320607858E-3</v>
      </c>
      <c r="P5" s="1">
        <f>O5*293.07107</f>
        <v>1.3716589264262038</v>
      </c>
      <c r="V5" t="s">
        <v>451</v>
      </c>
    </row>
    <row r="6" spans="1:31" x14ac:dyDescent="0.25">
      <c r="A6" s="1" t="s">
        <v>38</v>
      </c>
      <c r="B6" s="1">
        <v>167.62599056205451</v>
      </c>
      <c r="C6" s="1">
        <f t="shared" si="0"/>
        <v>76.033808311023435</v>
      </c>
      <c r="G6" t="s">
        <v>389</v>
      </c>
      <c r="H6">
        <f>C10</f>
        <v>53.070283495475152</v>
      </c>
      <c r="V6" t="s">
        <v>27</v>
      </c>
      <c r="W6">
        <v>99.786156500000004</v>
      </c>
      <c r="X6">
        <v>0.95</v>
      </c>
      <c r="Y6">
        <v>4.2699999999999996</v>
      </c>
      <c r="Z6">
        <v>1.37</v>
      </c>
      <c r="AD6">
        <f t="shared" ref="AD6:AD14" si="1">0.95*X6</f>
        <v>0.90249999999999997</v>
      </c>
      <c r="AE6">
        <f t="shared" ref="AE6:AE14" si="2">1.05*X6</f>
        <v>0.99749999999999994</v>
      </c>
    </row>
    <row r="7" spans="1:31" x14ac:dyDescent="0.25">
      <c r="A7" s="1" t="s">
        <v>46</v>
      </c>
      <c r="B7" s="1">
        <v>0</v>
      </c>
      <c r="C7" s="1">
        <f t="shared" si="0"/>
        <v>0</v>
      </c>
      <c r="G7" t="s">
        <v>391</v>
      </c>
      <c r="H7">
        <f>L13*H6</f>
        <v>41.480454275120579</v>
      </c>
      <c r="N7" s="1" t="s">
        <v>65</v>
      </c>
      <c r="O7" s="1" t="s">
        <v>438</v>
      </c>
      <c r="P7" s="1" t="s">
        <v>439</v>
      </c>
      <c r="V7" t="s">
        <v>452</v>
      </c>
      <c r="W7">
        <v>41.480454279999996</v>
      </c>
      <c r="X7">
        <v>0.93</v>
      </c>
      <c r="Y7">
        <v>27.4</v>
      </c>
      <c r="Z7">
        <v>4.82</v>
      </c>
      <c r="AD7">
        <f t="shared" si="1"/>
        <v>0.88349999999999995</v>
      </c>
      <c r="AE7">
        <f t="shared" si="2"/>
        <v>0.97650000000000015</v>
      </c>
    </row>
    <row r="8" spans="1:31" x14ac:dyDescent="0.25">
      <c r="A8" s="1" t="s">
        <v>54</v>
      </c>
      <c r="B8" s="1">
        <v>8.4054531290482668</v>
      </c>
      <c r="C8" s="1">
        <f t="shared" si="0"/>
        <v>3.8126462957112612</v>
      </c>
      <c r="N8" s="1" t="s">
        <v>446</v>
      </c>
      <c r="O8" s="1">
        <v>9.3501426183255382E-2</v>
      </c>
      <c r="P8" s="1">
        <f>O8*293.07107</f>
        <v>27.402563018052671</v>
      </c>
      <c r="V8" t="s">
        <v>453</v>
      </c>
      <c r="W8">
        <v>272.90948279999998</v>
      </c>
      <c r="Z8">
        <v>8.8522499999999997</v>
      </c>
      <c r="AA8">
        <v>6197.6555559999997</v>
      </c>
      <c r="AD8">
        <f t="shared" si="1"/>
        <v>0</v>
      </c>
      <c r="AE8">
        <f t="shared" si="2"/>
        <v>0</v>
      </c>
    </row>
    <row r="9" spans="1:31" x14ac:dyDescent="0.25">
      <c r="A9" s="1" t="s">
        <v>62</v>
      </c>
      <c r="B9" s="1">
        <v>74.296476508484105</v>
      </c>
      <c r="C9" s="1">
        <f t="shared" si="0"/>
        <v>33.700287372436321</v>
      </c>
      <c r="N9" s="1" t="s">
        <v>450</v>
      </c>
      <c r="O9" s="1">
        <v>1.645729457647287E-2</v>
      </c>
      <c r="P9" s="1">
        <f>O9*293.07107</f>
        <v>4.8231569308321012</v>
      </c>
      <c r="V9" t="s">
        <v>454</v>
      </c>
      <c r="W9">
        <v>41.336978870000003</v>
      </c>
      <c r="X9">
        <v>0.91</v>
      </c>
      <c r="Y9">
        <v>37.132952629999998</v>
      </c>
      <c r="AA9">
        <v>685.74166700000001</v>
      </c>
      <c r="AD9">
        <f t="shared" si="1"/>
        <v>0.86449999999999994</v>
      </c>
      <c r="AE9">
        <f t="shared" si="2"/>
        <v>0.95550000000000013</v>
      </c>
    </row>
    <row r="10" spans="1:31" x14ac:dyDescent="0.25">
      <c r="A10" s="1" t="s">
        <v>71</v>
      </c>
      <c r="B10" s="1">
        <v>117.0000429802006</v>
      </c>
      <c r="C10" s="1">
        <f t="shared" si="0"/>
        <v>53.070283495475152</v>
      </c>
      <c r="F10" t="s">
        <v>393</v>
      </c>
      <c r="V10" t="s">
        <v>455</v>
      </c>
      <c r="W10">
        <v>11.58982922</v>
      </c>
      <c r="X10">
        <v>0.93</v>
      </c>
      <c r="Y10">
        <v>27.402563019999999</v>
      </c>
      <c r="AA10">
        <v>358.691667</v>
      </c>
      <c r="AD10">
        <f t="shared" si="1"/>
        <v>0.88349999999999995</v>
      </c>
      <c r="AE10">
        <f t="shared" si="2"/>
        <v>0.97650000000000015</v>
      </c>
    </row>
    <row r="11" spans="1:31" x14ac:dyDescent="0.25">
      <c r="A11" s="1" t="s">
        <v>78</v>
      </c>
      <c r="B11" s="1">
        <v>0</v>
      </c>
      <c r="C11" s="1">
        <f t="shared" si="0"/>
        <v>0</v>
      </c>
      <c r="F11" s="4" t="s">
        <v>395</v>
      </c>
      <c r="G11" s="4" t="s">
        <v>396</v>
      </c>
      <c r="H11" s="4" t="s">
        <v>397</v>
      </c>
      <c r="J11" s="3" t="s">
        <v>393</v>
      </c>
      <c r="V11" t="s">
        <v>456</v>
      </c>
      <c r="W11">
        <v>33.700287369999998</v>
      </c>
      <c r="X11">
        <v>0.96</v>
      </c>
      <c r="Y11">
        <v>7.4124753300000004</v>
      </c>
      <c r="AA11">
        <v>944.77499999999998</v>
      </c>
      <c r="AD11">
        <f t="shared" si="1"/>
        <v>0.91199999999999992</v>
      </c>
      <c r="AE11">
        <f t="shared" si="2"/>
        <v>1.008</v>
      </c>
    </row>
    <row r="12" spans="1:31" ht="15.75" customHeight="1" x14ac:dyDescent="0.25">
      <c r="A12" s="1" t="s">
        <v>85</v>
      </c>
      <c r="B12" s="1">
        <v>10.434355608473711</v>
      </c>
      <c r="C12" s="1">
        <f t="shared" si="0"/>
        <v>4.7329402291588076</v>
      </c>
      <c r="F12" t="s">
        <v>399</v>
      </c>
      <c r="G12" t="s">
        <v>400</v>
      </c>
      <c r="H12">
        <v>89.81</v>
      </c>
      <c r="J12" s="5" t="s">
        <v>401</v>
      </c>
      <c r="K12">
        <f>H17+H26+H32</f>
        <v>52.429999999999993</v>
      </c>
      <c r="N12" t="s">
        <v>457</v>
      </c>
      <c r="O12" s="1" t="s">
        <v>458</v>
      </c>
      <c r="P12" s="33" t="s">
        <v>439</v>
      </c>
      <c r="Q12" s="1" t="s">
        <v>275</v>
      </c>
      <c r="R12" s="27">
        <v>0.2</v>
      </c>
      <c r="S12" s="27">
        <v>-0.2</v>
      </c>
      <c r="V12" t="s">
        <v>459</v>
      </c>
      <c r="W12">
        <v>17.345321630000001</v>
      </c>
      <c r="X12">
        <v>0.84</v>
      </c>
      <c r="Y12">
        <v>28.264555080000001</v>
      </c>
      <c r="AA12">
        <v>3182.666667</v>
      </c>
      <c r="AD12">
        <f t="shared" si="1"/>
        <v>0.79799999999999993</v>
      </c>
      <c r="AE12">
        <f t="shared" si="2"/>
        <v>0.88200000000000001</v>
      </c>
    </row>
    <row r="13" spans="1:31" x14ac:dyDescent="0.25">
      <c r="A13" s="1" t="s">
        <v>89</v>
      </c>
      <c r="B13" s="1">
        <v>28.9843211346492</v>
      </c>
      <c r="C13" s="1">
        <f t="shared" si="0"/>
        <v>13.147056192107799</v>
      </c>
      <c r="F13" t="s">
        <v>399</v>
      </c>
      <c r="G13" t="s">
        <v>403</v>
      </c>
      <c r="H13">
        <v>4.99</v>
      </c>
      <c r="J13" s="6" t="s">
        <v>391</v>
      </c>
      <c r="K13">
        <f>H26+H32</f>
        <v>40.98</v>
      </c>
      <c r="L13" s="7">
        <f>K13/K12</f>
        <v>0.78161358001144388</v>
      </c>
      <c r="N13" s="24" t="s">
        <v>446</v>
      </c>
      <c r="O13" s="3"/>
      <c r="P13" s="3"/>
      <c r="Q13" s="13">
        <f>S26</f>
        <v>6768.7706913375805</v>
      </c>
      <c r="V13" t="s">
        <v>460</v>
      </c>
      <c r="W13">
        <v>138.54236660000001</v>
      </c>
      <c r="X13">
        <v>0.84</v>
      </c>
      <c r="Y13">
        <v>29.852814590000001</v>
      </c>
      <c r="AA13">
        <v>932.55555600000002</v>
      </c>
      <c r="AD13">
        <f t="shared" si="1"/>
        <v>0.79799999999999993</v>
      </c>
      <c r="AE13">
        <f t="shared" si="2"/>
        <v>0.88200000000000001</v>
      </c>
    </row>
    <row r="14" spans="1:31" x14ac:dyDescent="0.25">
      <c r="A14" s="1" t="s">
        <v>93</v>
      </c>
      <c r="B14" s="1">
        <v>28.9843211346492</v>
      </c>
      <c r="C14" s="1">
        <f t="shared" si="0"/>
        <v>13.147056192107799</v>
      </c>
      <c r="F14" t="s">
        <v>399</v>
      </c>
      <c r="G14" t="s">
        <v>405</v>
      </c>
      <c r="H14">
        <v>64.599999999999994</v>
      </c>
      <c r="J14" s="6"/>
      <c r="N14" s="24" t="s">
        <v>450</v>
      </c>
      <c r="O14" s="24">
        <v>27.5</v>
      </c>
      <c r="P14" s="34">
        <f>0.3219*O14</f>
        <v>8.8522499999999997</v>
      </c>
      <c r="Q14" s="13">
        <f>P14*C28</f>
        <v>2415.8629691058304</v>
      </c>
      <c r="R14">
        <f>1.2*P14</f>
        <v>10.6227</v>
      </c>
      <c r="S14">
        <f>0.8*P14</f>
        <v>7.0818000000000003</v>
      </c>
      <c r="V14" t="s">
        <v>461</v>
      </c>
      <c r="W14">
        <v>16.89677309</v>
      </c>
      <c r="X14">
        <v>0.84</v>
      </c>
      <c r="Y14">
        <v>2.3836301789999998</v>
      </c>
      <c r="AA14">
        <v>93.224999999999994</v>
      </c>
      <c r="AD14">
        <f t="shared" si="1"/>
        <v>0.79799999999999993</v>
      </c>
      <c r="AE14">
        <f t="shared" si="2"/>
        <v>0.88200000000000001</v>
      </c>
    </row>
    <row r="15" spans="1:31" x14ac:dyDescent="0.25">
      <c r="A15" s="1" t="s">
        <v>104</v>
      </c>
      <c r="B15" s="1">
        <v>0.77291523025731201</v>
      </c>
      <c r="C15" s="1">
        <f t="shared" si="0"/>
        <v>0.35058816512287466</v>
      </c>
      <c r="F15" t="s">
        <v>399</v>
      </c>
      <c r="G15" t="s">
        <v>407</v>
      </c>
      <c r="H15">
        <v>6.31</v>
      </c>
      <c r="J15" s="8" t="s">
        <v>408</v>
      </c>
    </row>
    <row r="16" spans="1:31" x14ac:dyDescent="0.25">
      <c r="A16" s="1" t="s">
        <v>107</v>
      </c>
      <c r="B16" s="1">
        <v>5.9900930344941683</v>
      </c>
      <c r="C16" s="1">
        <f t="shared" si="0"/>
        <v>2.7170582797022789</v>
      </c>
      <c r="F16" t="s">
        <v>399</v>
      </c>
      <c r="G16" t="s">
        <v>49</v>
      </c>
      <c r="H16">
        <v>20.059999999999999</v>
      </c>
      <c r="J16" s="6" t="s">
        <v>389</v>
      </c>
      <c r="K16">
        <v>45.5</v>
      </c>
      <c r="O16" t="s">
        <v>462</v>
      </c>
      <c r="Q16">
        <f>293.07107*75</f>
        <v>21980.330250000003</v>
      </c>
      <c r="R16" t="s">
        <v>275</v>
      </c>
    </row>
    <row r="17" spans="1:21" x14ac:dyDescent="0.25">
      <c r="A17" s="1" t="s">
        <v>109</v>
      </c>
      <c r="B17" s="1">
        <v>8.9851395517412502</v>
      </c>
      <c r="C17" s="1">
        <f t="shared" si="0"/>
        <v>4.0755874195534174</v>
      </c>
      <c r="F17" t="s">
        <v>399</v>
      </c>
      <c r="G17" t="s">
        <v>65</v>
      </c>
      <c r="H17">
        <v>11.45</v>
      </c>
      <c r="J17" s="6" t="s">
        <v>391</v>
      </c>
      <c r="K17">
        <f>28.7+9.3</f>
        <v>38</v>
      </c>
      <c r="L17" s="7">
        <f>K17/K16</f>
        <v>0.8351648351648352</v>
      </c>
    </row>
    <row r="18" spans="1:21" x14ac:dyDescent="0.25">
      <c r="A18" s="1" t="s">
        <v>111</v>
      </c>
      <c r="B18" s="1">
        <v>1.6424448642967879</v>
      </c>
      <c r="C18" s="1">
        <f t="shared" si="0"/>
        <v>0.74499985088610865</v>
      </c>
      <c r="F18" t="s">
        <v>399</v>
      </c>
      <c r="G18" t="s">
        <v>412</v>
      </c>
      <c r="H18">
        <v>3.96</v>
      </c>
    </row>
    <row r="19" spans="1:21" x14ac:dyDescent="0.25">
      <c r="A19" s="1" t="s">
        <v>115</v>
      </c>
      <c r="B19" s="1">
        <v>156.90179174223431</v>
      </c>
      <c r="C19" s="1">
        <f t="shared" si="0"/>
        <v>71.169397519943544</v>
      </c>
      <c r="F19" t="s">
        <v>399</v>
      </c>
      <c r="G19" t="s">
        <v>414</v>
      </c>
      <c r="H19">
        <v>11.05</v>
      </c>
      <c r="O19" s="1" t="s">
        <v>463</v>
      </c>
      <c r="P19" s="1" t="s">
        <v>464</v>
      </c>
      <c r="Q19" s="1" t="s">
        <v>465</v>
      </c>
      <c r="R19" s="1" t="s">
        <v>466</v>
      </c>
      <c r="S19" s="1" t="s">
        <v>467</v>
      </c>
      <c r="T19" s="27">
        <v>0.2</v>
      </c>
      <c r="U19" s="27">
        <v>-0.2</v>
      </c>
    </row>
    <row r="20" spans="1:21" x14ac:dyDescent="0.25">
      <c r="A20" s="1" t="s">
        <v>120</v>
      </c>
      <c r="B20" s="1">
        <v>63.089205669753078</v>
      </c>
      <c r="C20" s="1">
        <f t="shared" si="0"/>
        <v>28.616758978154639</v>
      </c>
      <c r="F20" t="s">
        <v>399</v>
      </c>
      <c r="G20" t="s">
        <v>416</v>
      </c>
      <c r="H20">
        <v>11.05</v>
      </c>
      <c r="N20" s="33" t="s">
        <v>423</v>
      </c>
      <c r="O20" s="1">
        <f t="shared" ref="O20:O25" si="3">B32</f>
        <v>41.336978874459518</v>
      </c>
      <c r="P20" s="1">
        <v>115.35555337919421</v>
      </c>
      <c r="Q20" s="1" t="s">
        <v>458</v>
      </c>
      <c r="R20" s="1">
        <f>P20*0.3219</f>
        <v>37.132952632762617</v>
      </c>
      <c r="S20" s="1">
        <f t="shared" ref="S20:S25" si="4">O20*R20</f>
        <v>1534.9640785268143</v>
      </c>
      <c r="T20">
        <f t="shared" ref="T20:T25" si="5">1.2*R20</f>
        <v>44.55954315931514</v>
      </c>
      <c r="U20">
        <f t="shared" ref="U20:U25" si="6">0.8*R20</f>
        <v>29.706362106210094</v>
      </c>
    </row>
    <row r="21" spans="1:21" x14ac:dyDescent="0.25">
      <c r="A21" s="1" t="s">
        <v>125</v>
      </c>
      <c r="B21" s="1">
        <v>0.28984321134649199</v>
      </c>
      <c r="C21" s="1">
        <f t="shared" si="0"/>
        <v>0.13147056192107801</v>
      </c>
      <c r="F21" t="s">
        <v>399</v>
      </c>
      <c r="G21" t="s">
        <v>418</v>
      </c>
      <c r="H21">
        <v>2.1800000000000002</v>
      </c>
      <c r="N21" s="33" t="s">
        <v>65</v>
      </c>
      <c r="O21" s="1">
        <f t="shared" si="3"/>
        <v>11.589829220354574</v>
      </c>
      <c r="P21" s="1">
        <f>O8</f>
        <v>9.3501426183255382E-2</v>
      </c>
      <c r="Q21" s="1" t="s">
        <v>438</v>
      </c>
      <c r="R21" s="1">
        <f>P21*293.07107</f>
        <v>27.402563018052671</v>
      </c>
      <c r="S21" s="1">
        <f t="shared" si="4"/>
        <v>317.59102557923444</v>
      </c>
      <c r="T21">
        <f t="shared" si="5"/>
        <v>32.883075621663203</v>
      </c>
      <c r="U21">
        <f t="shared" si="6"/>
        <v>21.92205041444214</v>
      </c>
    </row>
    <row r="22" spans="1:21" x14ac:dyDescent="0.25">
      <c r="A22" s="1" t="s">
        <v>130</v>
      </c>
      <c r="B22" s="1">
        <v>3.574732939940068</v>
      </c>
      <c r="C22" s="1">
        <f t="shared" si="0"/>
        <v>1.6214702636932954</v>
      </c>
      <c r="F22" t="s">
        <v>399</v>
      </c>
      <c r="G22" t="s">
        <v>420</v>
      </c>
      <c r="H22">
        <v>0.48</v>
      </c>
      <c r="N22" s="33" t="s">
        <v>49</v>
      </c>
      <c r="O22" s="1">
        <f t="shared" si="3"/>
        <v>33.700287372436321</v>
      </c>
      <c r="P22" s="1">
        <v>2.529241569205385E-2</v>
      </c>
      <c r="Q22" s="1" t="s">
        <v>438</v>
      </c>
      <c r="R22" s="1">
        <f>P22*293.07107</f>
        <v>7.4124753297550132</v>
      </c>
      <c r="S22" s="1">
        <f t="shared" si="4"/>
        <v>249.80254875383864</v>
      </c>
      <c r="T22">
        <f t="shared" si="5"/>
        <v>8.8949703957060162</v>
      </c>
      <c r="U22">
        <f t="shared" si="6"/>
        <v>5.9299802638040111</v>
      </c>
    </row>
    <row r="23" spans="1:21" x14ac:dyDescent="0.25">
      <c r="A23" s="1" t="s">
        <v>136</v>
      </c>
      <c r="B23" s="1">
        <v>39.998363165815903</v>
      </c>
      <c r="C23" s="1">
        <f t="shared" si="0"/>
        <v>18.142937545108765</v>
      </c>
      <c r="F23" t="s">
        <v>399</v>
      </c>
      <c r="G23" t="s">
        <v>422</v>
      </c>
      <c r="H23">
        <v>0.56000000000000005</v>
      </c>
      <c r="N23" s="33" t="s">
        <v>468</v>
      </c>
      <c r="O23" s="1">
        <f t="shared" si="3"/>
        <v>17.345321630654819</v>
      </c>
      <c r="P23" s="1">
        <v>87.80539010914049</v>
      </c>
      <c r="Q23" s="1" t="s">
        <v>458</v>
      </c>
      <c r="R23" s="1">
        <f>P23*0.3219</f>
        <v>28.264555076132325</v>
      </c>
      <c r="S23" s="1">
        <f t="shared" si="4"/>
        <v>490.25779854287248</v>
      </c>
      <c r="T23">
        <f t="shared" si="5"/>
        <v>33.91746609135879</v>
      </c>
      <c r="U23">
        <f t="shared" si="6"/>
        <v>22.61164406090586</v>
      </c>
    </row>
    <row r="24" spans="1:21" ht="15.75" customHeight="1" thickBot="1" x14ac:dyDescent="0.3">
      <c r="A24" s="9" t="s">
        <v>140</v>
      </c>
      <c r="B24" s="9">
        <v>9.1783683593055336</v>
      </c>
      <c r="C24" s="9">
        <f t="shared" si="0"/>
        <v>4.1632344608341159</v>
      </c>
      <c r="F24" t="s">
        <v>399</v>
      </c>
      <c r="G24" t="s">
        <v>424</v>
      </c>
      <c r="H24">
        <v>226.49</v>
      </c>
      <c r="N24" s="33" t="s">
        <v>469</v>
      </c>
      <c r="O24" s="1">
        <f t="shared" si="3"/>
        <v>138.54236656949459</v>
      </c>
      <c r="P24" s="1">
        <v>92.739405365947874</v>
      </c>
      <c r="Q24" s="1" t="s">
        <v>458</v>
      </c>
      <c r="R24" s="1">
        <f>P24*0.3219</f>
        <v>29.852814587298621</v>
      </c>
      <c r="S24" s="1">
        <f t="shared" si="4"/>
        <v>4135.8795816846805</v>
      </c>
      <c r="T24">
        <f t="shared" si="5"/>
        <v>35.823377504758341</v>
      </c>
      <c r="U24">
        <f t="shared" si="6"/>
        <v>23.882251669838897</v>
      </c>
    </row>
    <row r="25" spans="1:21" ht="15.75" customHeight="1" thickBot="1" x14ac:dyDescent="0.3">
      <c r="A25" s="10" t="s">
        <v>470</v>
      </c>
      <c r="B25" s="11">
        <f>SUM(B5:B24)</f>
        <v>966.14403782163981</v>
      </c>
      <c r="C25" s="12">
        <f>SUM(C5:C24)</f>
        <v>438.23520640359334</v>
      </c>
      <c r="F25" t="s">
        <v>426</v>
      </c>
      <c r="G25" t="s">
        <v>49</v>
      </c>
      <c r="H25">
        <v>0.43</v>
      </c>
      <c r="N25" s="33" t="s">
        <v>471</v>
      </c>
      <c r="O25" s="1">
        <f t="shared" si="3"/>
        <v>16.896773085073367</v>
      </c>
      <c r="P25" s="1">
        <v>7.4048778465774294</v>
      </c>
      <c r="Q25" s="1" t="s">
        <v>458</v>
      </c>
      <c r="R25" s="1">
        <f>P25*0.3219</f>
        <v>2.3836301788132745</v>
      </c>
      <c r="S25" s="1">
        <f t="shared" si="4"/>
        <v>40.275658250140751</v>
      </c>
      <c r="T25">
        <f t="shared" si="5"/>
        <v>2.8603562145759294</v>
      </c>
      <c r="U25">
        <f t="shared" si="6"/>
        <v>1.9069041430506197</v>
      </c>
    </row>
    <row r="26" spans="1:21" x14ac:dyDescent="0.25">
      <c r="F26" t="s">
        <v>426</v>
      </c>
      <c r="G26" t="s">
        <v>65</v>
      </c>
      <c r="H26">
        <v>11.42</v>
      </c>
      <c r="S26">
        <f>SUM(S20:S25)</f>
        <v>6768.7706913375805</v>
      </c>
    </row>
    <row r="27" spans="1:21" x14ac:dyDescent="0.25">
      <c r="F27" t="s">
        <v>426</v>
      </c>
      <c r="G27" t="s">
        <v>420</v>
      </c>
      <c r="H27">
        <v>0.13</v>
      </c>
    </row>
    <row r="28" spans="1:21" x14ac:dyDescent="0.25">
      <c r="A28" s="87" t="s">
        <v>472</v>
      </c>
      <c r="B28" s="88"/>
      <c r="C28" s="13">
        <f>SUM(C5:C18)-H7</f>
        <v>272.90948279881729</v>
      </c>
      <c r="F28" t="s">
        <v>426</v>
      </c>
      <c r="G28" t="s">
        <v>430</v>
      </c>
      <c r="H28">
        <v>0.11</v>
      </c>
    </row>
    <row r="29" spans="1:21" x14ac:dyDescent="0.25">
      <c r="F29" t="s">
        <v>426</v>
      </c>
      <c r="G29" t="s">
        <v>431</v>
      </c>
      <c r="H29">
        <v>1.1200000000000001</v>
      </c>
    </row>
    <row r="30" spans="1:21" x14ac:dyDescent="0.25">
      <c r="F30" t="s">
        <v>426</v>
      </c>
      <c r="G30" t="s">
        <v>432</v>
      </c>
      <c r="H30">
        <v>13.2</v>
      </c>
      <c r="M30" s="1"/>
      <c r="N30" s="57" t="s">
        <v>473</v>
      </c>
      <c r="O30" s="57" t="s">
        <v>474</v>
      </c>
      <c r="P30" s="57" t="s">
        <v>446</v>
      </c>
      <c r="Q30" s="57" t="s">
        <v>450</v>
      </c>
      <c r="R30" s="57" t="s">
        <v>475</v>
      </c>
    </row>
    <row r="31" spans="1:21" x14ac:dyDescent="0.25">
      <c r="A31" s="1" t="s">
        <v>476</v>
      </c>
      <c r="B31" s="1"/>
      <c r="F31" t="s">
        <v>433</v>
      </c>
      <c r="G31" t="s">
        <v>49</v>
      </c>
      <c r="H31">
        <v>0.09</v>
      </c>
      <c r="M31" s="82" t="s">
        <v>477</v>
      </c>
      <c r="N31" s="1" t="s">
        <v>423</v>
      </c>
      <c r="O31" s="56">
        <v>41.336978874459533</v>
      </c>
      <c r="P31" s="56">
        <v>37.132952632762603</v>
      </c>
      <c r="Q31" s="86">
        <v>8.8522499999999997</v>
      </c>
      <c r="R31" s="85" t="s">
        <v>478</v>
      </c>
    </row>
    <row r="32" spans="1:21" x14ac:dyDescent="0.25">
      <c r="A32" s="1" t="s">
        <v>479</v>
      </c>
      <c r="B32" s="1">
        <f>C5*B48/C54</f>
        <v>41.336978874459518</v>
      </c>
      <c r="F32" t="s">
        <v>433</v>
      </c>
      <c r="G32" t="s">
        <v>65</v>
      </c>
      <c r="H32">
        <v>29.56</v>
      </c>
      <c r="M32" s="83"/>
      <c r="N32" s="1" t="s">
        <v>65</v>
      </c>
      <c r="O32" s="56">
        <v>11.58982922035457</v>
      </c>
      <c r="P32" s="56">
        <v>27.402563018052671</v>
      </c>
      <c r="Q32" s="83"/>
      <c r="R32" s="83"/>
    </row>
    <row r="33" spans="1:18" x14ac:dyDescent="0.25">
      <c r="A33" s="1" t="s">
        <v>480</v>
      </c>
      <c r="B33" s="1">
        <f>H6-H7</f>
        <v>11.589829220354574</v>
      </c>
      <c r="F33" t="s">
        <v>433</v>
      </c>
      <c r="G33" t="s">
        <v>434</v>
      </c>
      <c r="H33">
        <v>1.78</v>
      </c>
      <c r="M33" s="83"/>
      <c r="N33" s="1" t="s">
        <v>49</v>
      </c>
      <c r="O33" s="56">
        <v>33.700287372436321</v>
      </c>
      <c r="P33" s="56">
        <v>7.4124753297550132</v>
      </c>
      <c r="Q33" s="83"/>
      <c r="R33" s="83"/>
    </row>
    <row r="34" spans="1:18" x14ac:dyDescent="0.25">
      <c r="A34" s="1" t="s">
        <v>481</v>
      </c>
      <c r="B34" s="1">
        <f>C9</f>
        <v>33.700287372436321</v>
      </c>
      <c r="F34" t="s">
        <v>433</v>
      </c>
      <c r="G34" t="s">
        <v>430</v>
      </c>
      <c r="H34">
        <v>0.94</v>
      </c>
      <c r="M34" s="83"/>
      <c r="N34" s="1" t="s">
        <v>468</v>
      </c>
      <c r="O34" s="56">
        <v>17.345321630654819</v>
      </c>
      <c r="P34" s="56">
        <v>28.264555076132321</v>
      </c>
      <c r="Q34" s="83"/>
      <c r="R34" s="83"/>
    </row>
    <row r="35" spans="1:18" x14ac:dyDescent="0.25">
      <c r="A35" s="1" t="s">
        <v>482</v>
      </c>
      <c r="B35" s="1">
        <f>C5*B45/C52</f>
        <v>17.345321630654819</v>
      </c>
      <c r="F35" t="s">
        <v>433</v>
      </c>
      <c r="G35" t="s">
        <v>435</v>
      </c>
      <c r="H35">
        <v>8.4700000000000006</v>
      </c>
      <c r="M35" s="83"/>
      <c r="N35" s="1" t="s">
        <v>469</v>
      </c>
      <c r="O35" s="56">
        <v>138.54236656949459</v>
      </c>
      <c r="P35" s="56">
        <v>29.852814587298621</v>
      </c>
      <c r="Q35" s="83"/>
      <c r="R35" s="83"/>
    </row>
    <row r="36" spans="1:18" x14ac:dyDescent="0.25">
      <c r="A36" s="1" t="s">
        <v>483</v>
      </c>
      <c r="B36" s="1">
        <f>C5*B44/C51</f>
        <v>138.54236656949459</v>
      </c>
      <c r="F36" t="s">
        <v>433</v>
      </c>
      <c r="G36" t="s">
        <v>431</v>
      </c>
      <c r="H36">
        <v>4.22</v>
      </c>
      <c r="M36" s="84"/>
      <c r="N36" s="1" t="s">
        <v>471</v>
      </c>
      <c r="O36" s="56">
        <v>16.89677308507337</v>
      </c>
      <c r="P36" s="56">
        <v>2.383630178813275</v>
      </c>
      <c r="Q36" s="84"/>
      <c r="R36" s="84"/>
    </row>
    <row r="37" spans="1:18" x14ac:dyDescent="0.25">
      <c r="A37" s="1" t="s">
        <v>484</v>
      </c>
      <c r="B37" s="1">
        <f>C5*B46/C53</f>
        <v>16.896773085073367</v>
      </c>
      <c r="F37" t="s">
        <v>433</v>
      </c>
      <c r="G37" t="s">
        <v>436</v>
      </c>
      <c r="H37">
        <v>45.06</v>
      </c>
      <c r="M37" s="85" t="s">
        <v>485</v>
      </c>
      <c r="N37" s="1" t="s">
        <v>486</v>
      </c>
      <c r="O37" s="56">
        <f>G3</f>
        <v>99.78615649809818</v>
      </c>
      <c r="P37" s="56">
        <f>P4</f>
        <v>4.2796601375411818</v>
      </c>
      <c r="Q37" s="56">
        <f>P5</f>
        <v>1.3716589264262038</v>
      </c>
      <c r="R37" s="1"/>
    </row>
    <row r="38" spans="1:18" x14ac:dyDescent="0.25">
      <c r="A38" s="24" t="s">
        <v>487</v>
      </c>
      <c r="B38" s="1">
        <f>SUM(B32:B37)</f>
        <v>259.41155675247319</v>
      </c>
      <c r="F38" t="s">
        <v>488</v>
      </c>
      <c r="G38" t="s">
        <v>489</v>
      </c>
      <c r="H38">
        <v>284.75</v>
      </c>
      <c r="M38" s="84"/>
      <c r="N38" s="1" t="s">
        <v>490</v>
      </c>
      <c r="O38" s="56">
        <f>H7</f>
        <v>41.480454275120579</v>
      </c>
      <c r="P38" s="56">
        <f>P8</f>
        <v>27.402563018052671</v>
      </c>
      <c r="Q38" s="56">
        <f>P8</f>
        <v>27.402563018052671</v>
      </c>
      <c r="R38" s="1"/>
    </row>
    <row r="43" spans="1:18" x14ac:dyDescent="0.25">
      <c r="A43" s="14" t="s">
        <v>22</v>
      </c>
      <c r="B43" s="14" t="s">
        <v>23</v>
      </c>
      <c r="C43" s="14" t="s">
        <v>24</v>
      </c>
    </row>
    <row r="44" spans="1:18" x14ac:dyDescent="0.25">
      <c r="A44" s="16" t="s">
        <v>32</v>
      </c>
      <c r="B44" s="16">
        <f>0.8*58.693/B50</f>
        <v>0.482677659104226</v>
      </c>
      <c r="C44" s="20">
        <f>B44</f>
        <v>0.482677659104226</v>
      </c>
    </row>
    <row r="45" spans="1:18" x14ac:dyDescent="0.25">
      <c r="A45" s="16" t="s">
        <v>40</v>
      </c>
      <c r="B45" s="16">
        <f>0.1*58.933/B50</f>
        <v>6.0581420450456933E-2</v>
      </c>
      <c r="C45" s="20">
        <f>B45</f>
        <v>6.0581420450456933E-2</v>
      </c>
    </row>
    <row r="46" spans="1:18" x14ac:dyDescent="0.25">
      <c r="A46" s="16" t="s">
        <v>48</v>
      </c>
      <c r="B46" s="16">
        <f>0.1*54.938/B50</f>
        <v>5.6474675932112792E-2</v>
      </c>
      <c r="C46" s="20">
        <f>B46</f>
        <v>5.6474675932112792E-2</v>
      </c>
    </row>
    <row r="47" spans="1:18" x14ac:dyDescent="0.25">
      <c r="A47" s="16" t="s">
        <v>56</v>
      </c>
      <c r="B47" s="16">
        <f>2*15.999/B50</f>
        <v>0.32893019048304362</v>
      </c>
      <c r="C47" s="20">
        <f>B47</f>
        <v>0.32893019048304362</v>
      </c>
    </row>
    <row r="48" spans="1:18" x14ac:dyDescent="0.25">
      <c r="A48" s="16" t="s">
        <v>64</v>
      </c>
      <c r="B48" s="16">
        <f>6.94/B50</f>
        <v>7.1341193885627943E-2</v>
      </c>
      <c r="C48" s="20">
        <f>B48</f>
        <v>7.1341193885627943E-2</v>
      </c>
    </row>
    <row r="50" spans="1:3" x14ac:dyDescent="0.25">
      <c r="A50" s="19" t="s">
        <v>80</v>
      </c>
      <c r="B50">
        <v>97.278999999999996</v>
      </c>
    </row>
    <row r="51" spans="1:3" x14ac:dyDescent="0.25">
      <c r="A51" s="18" t="s">
        <v>491</v>
      </c>
      <c r="B51" s="23">
        <v>154.75</v>
      </c>
      <c r="C51" s="7">
        <f>58.69/B51</f>
        <v>0.37925686591276253</v>
      </c>
    </row>
    <row r="52" spans="1:3" x14ac:dyDescent="0.25">
      <c r="A52" s="18" t="s">
        <v>492</v>
      </c>
      <c r="B52">
        <v>154.99600000000001</v>
      </c>
      <c r="C52" s="7">
        <f>58.93/B52</f>
        <v>0.38020336008671191</v>
      </c>
    </row>
    <row r="53" spans="1:3" x14ac:dyDescent="0.25">
      <c r="A53" s="18" t="s">
        <v>493</v>
      </c>
      <c r="B53">
        <v>151.001</v>
      </c>
      <c r="C53" s="7">
        <f>54.94/B53</f>
        <v>0.36383865007516503</v>
      </c>
    </row>
    <row r="54" spans="1:3" x14ac:dyDescent="0.25">
      <c r="A54" s="18" t="s">
        <v>494</v>
      </c>
      <c r="B54">
        <v>73.891000000000005</v>
      </c>
      <c r="C54" s="7">
        <f>2*6.941/B54</f>
        <v>0.18787132397720965</v>
      </c>
    </row>
  </sheetData>
  <mergeCells count="5">
    <mergeCell ref="M31:M36"/>
    <mergeCell ref="R31:R36"/>
    <mergeCell ref="Q31:Q36"/>
    <mergeCell ref="A28:B28"/>
    <mergeCell ref="M37:M38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Y51"/>
  <sheetViews>
    <sheetView topLeftCell="M1" zoomScaleNormal="100" workbookViewId="0">
      <selection activeCell="S14" sqref="S14:S20"/>
    </sheetView>
  </sheetViews>
  <sheetFormatPr defaultRowHeight="15" x14ac:dyDescent="0.25"/>
  <cols>
    <col min="1" max="1" width="34.140625" bestFit="1" customWidth="1"/>
    <col min="2" max="2" width="23.85546875" bestFit="1" customWidth="1"/>
    <col min="3" max="3" width="32.7109375" bestFit="1" customWidth="1"/>
    <col min="5" max="5" width="14.85546875" bestFit="1" customWidth="1"/>
    <col min="6" max="6" width="43.85546875" bestFit="1" customWidth="1"/>
    <col min="8" max="8" width="34.7109375" bestFit="1" customWidth="1"/>
    <col min="9" max="9" width="43.85546875" bestFit="1" customWidth="1"/>
    <col min="10" max="10" width="10.28515625" bestFit="1" customWidth="1"/>
    <col min="12" max="12" width="14.42578125" bestFit="1" customWidth="1"/>
    <col min="13" max="13" width="17.42578125" bestFit="1" customWidth="1"/>
    <col min="14" max="14" width="22.7109375" bestFit="1" customWidth="1"/>
    <col min="15" max="15" width="25.5703125" bestFit="1" customWidth="1"/>
    <col min="16" max="16" width="28.140625" bestFit="1" customWidth="1"/>
    <col min="17" max="17" width="25.5703125" bestFit="1" customWidth="1"/>
    <col min="18" max="18" width="28.140625" bestFit="1" customWidth="1"/>
    <col min="19" max="19" width="9" bestFit="1" customWidth="1"/>
  </cols>
  <sheetData>
    <row r="3" spans="1:25" x14ac:dyDescent="0.25">
      <c r="A3" t="s">
        <v>3</v>
      </c>
    </row>
    <row r="4" spans="1:25" x14ac:dyDescent="0.25">
      <c r="A4" s="1"/>
      <c r="B4" s="1" t="s">
        <v>8</v>
      </c>
      <c r="C4" s="2" t="s">
        <v>8</v>
      </c>
      <c r="F4" t="s">
        <v>2</v>
      </c>
      <c r="M4" s="26" t="s">
        <v>495</v>
      </c>
      <c r="N4" s="26" t="s">
        <v>496</v>
      </c>
      <c r="O4" s="26" t="s">
        <v>497</v>
      </c>
      <c r="P4" s="26" t="s">
        <v>498</v>
      </c>
      <c r="Q4" s="26" t="s">
        <v>499</v>
      </c>
      <c r="R4" s="26" t="s">
        <v>500</v>
      </c>
    </row>
    <row r="5" spans="1:25" x14ac:dyDescent="0.25">
      <c r="A5" s="1" t="s">
        <v>18</v>
      </c>
      <c r="B5" s="1" t="s">
        <v>19</v>
      </c>
      <c r="C5" s="2" t="s">
        <v>20</v>
      </c>
      <c r="E5" s="15" t="s">
        <v>21</v>
      </c>
      <c r="F5" s="15">
        <f>C11</f>
        <v>53.070283495475152</v>
      </c>
      <c r="H5" s="14" t="s">
        <v>22</v>
      </c>
      <c r="I5" s="14" t="s">
        <v>23</v>
      </c>
      <c r="J5" s="26" t="s">
        <v>24</v>
      </c>
      <c r="M5" s="16" t="s">
        <v>35</v>
      </c>
      <c r="N5" s="16">
        <f>F5</f>
        <v>53.070283495475152</v>
      </c>
      <c r="O5" s="16">
        <v>44.419827285712699</v>
      </c>
      <c r="P5" s="16">
        <v>3.3</v>
      </c>
      <c r="Q5" s="16">
        <v>1.1174777856</v>
      </c>
      <c r="R5" s="35" t="s">
        <v>501</v>
      </c>
      <c r="U5" s="19" t="s">
        <v>502</v>
      </c>
      <c r="V5" s="19" t="s">
        <v>35</v>
      </c>
      <c r="X5">
        <v>1.1174777856</v>
      </c>
      <c r="Y5" t="s">
        <v>337</v>
      </c>
    </row>
    <row r="6" spans="1:25" x14ac:dyDescent="0.25">
      <c r="A6" s="1" t="s">
        <v>30</v>
      </c>
      <c r="B6" s="1">
        <v>239.9901789948953</v>
      </c>
      <c r="C6" s="1">
        <f t="shared" ref="C6:C25" si="0">B6*0.453592</f>
        <v>108.85762527065255</v>
      </c>
      <c r="E6" s="15" t="s">
        <v>31</v>
      </c>
      <c r="F6" s="15">
        <f>C6*I7</f>
        <v>6.5947495657596873</v>
      </c>
      <c r="H6" s="16" t="s">
        <v>32</v>
      </c>
      <c r="I6" s="16">
        <f>0.8*58.693/I12</f>
        <v>0.482677659104226</v>
      </c>
      <c r="J6" s="20">
        <f>I6</f>
        <v>0.482677659104226</v>
      </c>
      <c r="M6" s="16" t="s">
        <v>50</v>
      </c>
      <c r="N6" s="16">
        <f>F6</f>
        <v>6.5947495657596873</v>
      </c>
      <c r="O6" s="16">
        <v>4.9856306717143246</v>
      </c>
      <c r="P6" s="16">
        <v>37</v>
      </c>
      <c r="Q6" s="16">
        <v>50.35</v>
      </c>
      <c r="R6" s="35" t="s">
        <v>503</v>
      </c>
      <c r="U6">
        <v>1.3</v>
      </c>
      <c r="V6" s="18" t="s">
        <v>50</v>
      </c>
      <c r="W6">
        <v>50.353520799999998</v>
      </c>
      <c r="X6">
        <v>50.35</v>
      </c>
    </row>
    <row r="7" spans="1:25" x14ac:dyDescent="0.25">
      <c r="A7" s="1" t="s">
        <v>38</v>
      </c>
      <c r="B7" s="1">
        <v>167.62599056205451</v>
      </c>
      <c r="C7" s="1">
        <f t="shared" si="0"/>
        <v>76.033808311023435</v>
      </c>
      <c r="E7" s="15" t="s">
        <v>39</v>
      </c>
      <c r="F7" s="15">
        <f>C10</f>
        <v>33.700287372436321</v>
      </c>
      <c r="H7" s="16" t="s">
        <v>40</v>
      </c>
      <c r="I7" s="16">
        <f>0.1*58.933/I12</f>
        <v>6.0581420450456933E-2</v>
      </c>
      <c r="J7" s="20">
        <f>I7</f>
        <v>6.0581420450456933E-2</v>
      </c>
      <c r="M7" s="16" t="s">
        <v>42</v>
      </c>
      <c r="N7" s="16">
        <f>F7</f>
        <v>33.700287372436321</v>
      </c>
      <c r="O7" s="16">
        <v>29.117048289784979</v>
      </c>
      <c r="P7" s="16">
        <v>8.8000000000000007</v>
      </c>
      <c r="Q7" s="16">
        <v>7.11</v>
      </c>
      <c r="R7" s="35" t="s">
        <v>503</v>
      </c>
      <c r="U7">
        <v>55</v>
      </c>
      <c r="V7" s="18" t="s">
        <v>42</v>
      </c>
      <c r="X7">
        <v>7.11</v>
      </c>
    </row>
    <row r="8" spans="1:25" x14ac:dyDescent="0.25">
      <c r="A8" s="1" t="s">
        <v>46</v>
      </c>
      <c r="B8" s="1">
        <v>0</v>
      </c>
      <c r="C8" s="1">
        <f t="shared" si="0"/>
        <v>0</v>
      </c>
      <c r="E8" s="15" t="s">
        <v>47</v>
      </c>
      <c r="F8" s="15">
        <f>C7</f>
        <v>76.033808311023435</v>
      </c>
      <c r="H8" s="16" t="s">
        <v>48</v>
      </c>
      <c r="I8" s="16">
        <f>0.1*54.938/I12</f>
        <v>5.6474675932112792E-2</v>
      </c>
      <c r="J8" s="20">
        <f>I8</f>
        <v>5.6474675932112792E-2</v>
      </c>
      <c r="M8" s="16" t="s">
        <v>75</v>
      </c>
      <c r="N8" s="16">
        <f>F9</f>
        <v>7.7660329503626553</v>
      </c>
      <c r="O8" s="16">
        <v>6.3603809863470158</v>
      </c>
      <c r="P8" s="16">
        <v>30</v>
      </c>
      <c r="Q8" s="16">
        <v>8.3699999999999992</v>
      </c>
      <c r="R8" s="35" t="s">
        <v>503</v>
      </c>
      <c r="U8">
        <v>6.5</v>
      </c>
      <c r="V8" s="18" t="s">
        <v>504</v>
      </c>
      <c r="X8">
        <v>0.2</v>
      </c>
    </row>
    <row r="9" spans="1:25" x14ac:dyDescent="0.25">
      <c r="A9" s="1" t="s">
        <v>54</v>
      </c>
      <c r="B9" s="1">
        <v>8.4054531290482668</v>
      </c>
      <c r="C9" s="1">
        <f t="shared" si="0"/>
        <v>3.8126462957112612</v>
      </c>
      <c r="E9" s="15" t="s">
        <v>55</v>
      </c>
      <c r="F9" s="15">
        <f>C6*I10</f>
        <v>7.7660329503626553</v>
      </c>
      <c r="H9" s="16" t="s">
        <v>56</v>
      </c>
      <c r="I9" s="16">
        <f>2*15.999/I12</f>
        <v>0.32893019048304362</v>
      </c>
      <c r="J9" s="20">
        <f>I9</f>
        <v>0.32893019048304362</v>
      </c>
      <c r="M9" s="16" t="s">
        <v>68</v>
      </c>
      <c r="N9" s="16">
        <f>F10</f>
        <v>6.1476991098994747</v>
      </c>
      <c r="O9" s="16">
        <v>4.6476605270840032</v>
      </c>
      <c r="P9" s="16">
        <v>3.5</v>
      </c>
      <c r="Q9" s="16">
        <v>3.15</v>
      </c>
      <c r="R9" s="35" t="s">
        <v>505</v>
      </c>
      <c r="U9">
        <v>8</v>
      </c>
      <c r="V9" s="18" t="s">
        <v>75</v>
      </c>
      <c r="X9">
        <v>8.3699999999999992</v>
      </c>
    </row>
    <row r="10" spans="1:25" ht="30" customHeight="1" x14ac:dyDescent="0.25">
      <c r="A10" s="1" t="s">
        <v>62</v>
      </c>
      <c r="B10" s="1">
        <v>74.296476508484105</v>
      </c>
      <c r="C10" s="1">
        <f t="shared" si="0"/>
        <v>33.700287372436321</v>
      </c>
      <c r="E10" s="15" t="s">
        <v>63</v>
      </c>
      <c r="F10" s="15">
        <f>C6*I8</f>
        <v>6.1476991098994747</v>
      </c>
      <c r="H10" s="16" t="s">
        <v>64</v>
      </c>
      <c r="I10" s="16">
        <f>6.94/I12</f>
        <v>7.1341193885627943E-2</v>
      </c>
      <c r="J10" s="20">
        <f>I10</f>
        <v>7.1341193885627943E-2</v>
      </c>
      <c r="K10" s="21"/>
      <c r="M10" s="16" t="s">
        <v>59</v>
      </c>
      <c r="N10" s="16">
        <f>F11</f>
        <v>52.543143741283608</v>
      </c>
      <c r="O10" s="16">
        <v>39.72261666841041</v>
      </c>
      <c r="P10" s="16">
        <v>22</v>
      </c>
      <c r="Q10" s="16">
        <v>16.649999999999999</v>
      </c>
      <c r="R10" s="35" t="s">
        <v>503</v>
      </c>
      <c r="U10">
        <v>3.15</v>
      </c>
      <c r="V10" s="18" t="s">
        <v>68</v>
      </c>
      <c r="W10">
        <v>3.15</v>
      </c>
      <c r="X10">
        <v>3.15</v>
      </c>
    </row>
    <row r="11" spans="1:25" x14ac:dyDescent="0.25">
      <c r="A11" s="1" t="s">
        <v>71</v>
      </c>
      <c r="B11" s="1">
        <v>117.0000429802006</v>
      </c>
      <c r="C11" s="1">
        <f t="shared" si="0"/>
        <v>53.070283495475152</v>
      </c>
      <c r="E11" s="15" t="s">
        <v>72</v>
      </c>
      <c r="F11" s="15">
        <f>C6*I6</f>
        <v>52.543143741283608</v>
      </c>
      <c r="M11" s="16" t="s">
        <v>27</v>
      </c>
      <c r="N11" s="16">
        <f>F12</f>
        <v>99.78615649809818</v>
      </c>
      <c r="O11" s="16">
        <v>85.31716380587396</v>
      </c>
      <c r="P11" s="16">
        <v>1</v>
      </c>
      <c r="Q11">
        <v>0.33</v>
      </c>
      <c r="R11" s="35" t="s">
        <v>506</v>
      </c>
      <c r="U11">
        <v>11</v>
      </c>
      <c r="V11" s="18" t="s">
        <v>59</v>
      </c>
      <c r="W11">
        <v>16.649999999999999</v>
      </c>
      <c r="X11">
        <v>16.649999999999999</v>
      </c>
    </row>
    <row r="12" spans="1:25" x14ac:dyDescent="0.25">
      <c r="A12" s="1" t="s">
        <v>78</v>
      </c>
      <c r="B12" s="1">
        <v>0</v>
      </c>
      <c r="C12" s="1">
        <f t="shared" si="0"/>
        <v>0</v>
      </c>
      <c r="E12" s="15" t="s">
        <v>79</v>
      </c>
      <c r="F12" s="15">
        <f>C20+C21</f>
        <v>99.78615649809818</v>
      </c>
      <c r="H12" s="19" t="s">
        <v>80</v>
      </c>
      <c r="I12">
        <v>97.278999999999996</v>
      </c>
      <c r="U12">
        <v>0.38</v>
      </c>
      <c r="V12" s="18" t="s">
        <v>27</v>
      </c>
      <c r="X12">
        <v>0.33</v>
      </c>
    </row>
    <row r="13" spans="1:25" ht="105" customHeight="1" x14ac:dyDescent="0.25">
      <c r="A13" s="1" t="s">
        <v>85</v>
      </c>
      <c r="B13" s="1">
        <v>10.434355608473711</v>
      </c>
      <c r="C13" s="1">
        <f t="shared" si="0"/>
        <v>4.7329402291588076</v>
      </c>
      <c r="N13" s="14" t="s">
        <v>507</v>
      </c>
      <c r="O13" s="66" t="s">
        <v>508</v>
      </c>
      <c r="P13" s="66" t="s">
        <v>509</v>
      </c>
      <c r="R13" s="14" t="s">
        <v>510</v>
      </c>
      <c r="S13" s="14" t="s">
        <v>511</v>
      </c>
      <c r="T13" s="14" t="s">
        <v>512</v>
      </c>
    </row>
    <row r="14" spans="1:25" x14ac:dyDescent="0.25">
      <c r="A14" s="1" t="s">
        <v>89</v>
      </c>
      <c r="B14" s="1">
        <v>28.9843211346492</v>
      </c>
      <c r="C14" s="1">
        <f t="shared" si="0"/>
        <v>13.147056192107799</v>
      </c>
      <c r="N14" s="16">
        <f t="shared" ref="N14:N20" si="1">N5*N23*0.7</f>
        <v>34.548754555554325</v>
      </c>
      <c r="O14" s="1">
        <f t="shared" ref="O14:O20" si="2">N5*N23*0.9</f>
        <v>44.419827285712707</v>
      </c>
      <c r="P14" s="1">
        <f t="shared" ref="P14:P20" si="3">N23*N5</f>
        <v>49.355363650791894</v>
      </c>
      <c r="R14" s="16">
        <f t="shared" ref="R14:R20" si="4">P23*0.9*N5</f>
        <v>42.198835921427069</v>
      </c>
      <c r="S14" s="1">
        <f t="shared" ref="S14:S20" si="5">N23*0.9*N5</f>
        <v>44.419827285712707</v>
      </c>
      <c r="T14" s="1">
        <f t="shared" ref="T14:T20" si="6">N5*0.9*Q23</f>
        <v>46.640818649998344</v>
      </c>
    </row>
    <row r="15" spans="1:25" x14ac:dyDescent="0.25">
      <c r="A15" s="1" t="s">
        <v>93</v>
      </c>
      <c r="B15" s="1">
        <v>28.9843211346492</v>
      </c>
      <c r="C15" s="1">
        <f t="shared" si="0"/>
        <v>13.147056192107799</v>
      </c>
      <c r="N15" s="16">
        <f t="shared" si="1"/>
        <v>3.8777127446666957</v>
      </c>
      <c r="O15" s="1">
        <f t="shared" si="2"/>
        <v>4.9856306717143237</v>
      </c>
      <c r="P15" s="1">
        <f t="shared" si="3"/>
        <v>5.5395896352381371</v>
      </c>
      <c r="R15" s="16">
        <f t="shared" si="4"/>
        <v>4.7363491381286069</v>
      </c>
      <c r="S15" s="1">
        <f t="shared" si="5"/>
        <v>4.9856306717143237</v>
      </c>
      <c r="T15" s="1">
        <f t="shared" si="6"/>
        <v>5.2349122053000396</v>
      </c>
    </row>
    <row r="16" spans="1:25" x14ac:dyDescent="0.25">
      <c r="A16" s="1" t="s">
        <v>104</v>
      </c>
      <c r="B16" s="1">
        <v>0.77291523025731201</v>
      </c>
      <c r="C16" s="1">
        <f t="shared" si="0"/>
        <v>0.35058816512287466</v>
      </c>
      <c r="E16" s="3" t="s">
        <v>386</v>
      </c>
      <c r="N16" s="16">
        <f t="shared" si="1"/>
        <v>22.646593114277206</v>
      </c>
      <c r="O16" s="1">
        <f t="shared" si="2"/>
        <v>29.117048289784979</v>
      </c>
      <c r="P16" s="1">
        <f t="shared" si="3"/>
        <v>32.352275877538865</v>
      </c>
      <c r="R16" s="16">
        <f t="shared" si="4"/>
        <v>27.661195875295732</v>
      </c>
      <c r="S16" s="1">
        <f t="shared" si="5"/>
        <v>29.117048289784982</v>
      </c>
      <c r="T16" s="1">
        <f t="shared" si="6"/>
        <v>30.572900704274229</v>
      </c>
    </row>
    <row r="17" spans="1:20" x14ac:dyDescent="0.25">
      <c r="A17" s="1" t="s">
        <v>107</v>
      </c>
      <c r="B17" s="1">
        <v>5.9900930344941683</v>
      </c>
      <c r="C17" s="1">
        <f t="shared" si="0"/>
        <v>2.7170582797022789</v>
      </c>
      <c r="E17" s="1" t="s">
        <v>387</v>
      </c>
      <c r="F17" s="13">
        <f>C20+C21</f>
        <v>99.78615649809818</v>
      </c>
      <c r="N17" s="16">
        <f t="shared" si="1"/>
        <v>4.9469629893810119</v>
      </c>
      <c r="O17" s="1">
        <f t="shared" si="2"/>
        <v>6.3603809863470149</v>
      </c>
      <c r="P17" s="1">
        <f t="shared" si="3"/>
        <v>7.0670899848300168</v>
      </c>
      <c r="R17" s="16">
        <f t="shared" si="4"/>
        <v>6.0423619370296633</v>
      </c>
      <c r="S17" s="1">
        <f t="shared" si="5"/>
        <v>6.3603809863470149</v>
      </c>
      <c r="T17" s="1">
        <f t="shared" si="6"/>
        <v>6.6784000356643665</v>
      </c>
    </row>
    <row r="18" spans="1:20" x14ac:dyDescent="0.25">
      <c r="A18" s="1" t="s">
        <v>109</v>
      </c>
      <c r="B18" s="1">
        <v>8.9851395517412502</v>
      </c>
      <c r="C18" s="1">
        <f t="shared" si="0"/>
        <v>4.0755874195534174</v>
      </c>
      <c r="E18" s="1" t="s">
        <v>388</v>
      </c>
      <c r="F18" s="13">
        <f>G21</f>
        <v>41.480454275120579</v>
      </c>
      <c r="N18" s="16">
        <f t="shared" si="1"/>
        <v>3.6148470766208911</v>
      </c>
      <c r="O18" s="1">
        <f t="shared" si="2"/>
        <v>4.6476605270840032</v>
      </c>
      <c r="P18" s="1">
        <f t="shared" si="3"/>
        <v>5.1640672523155589</v>
      </c>
      <c r="R18" s="16">
        <f t="shared" si="4"/>
        <v>4.4152775007298022</v>
      </c>
      <c r="S18" s="1">
        <f t="shared" si="5"/>
        <v>4.6476605270840032</v>
      </c>
      <c r="T18" s="1">
        <f t="shared" si="6"/>
        <v>4.8800435534382034</v>
      </c>
    </row>
    <row r="19" spans="1:20" x14ac:dyDescent="0.25">
      <c r="A19" s="1" t="s">
        <v>111</v>
      </c>
      <c r="B19" s="1">
        <v>1.6424448642967879</v>
      </c>
      <c r="C19" s="1">
        <f t="shared" si="0"/>
        <v>0.74499985088610865</v>
      </c>
      <c r="N19" s="16">
        <f t="shared" si="1"/>
        <v>30.895368519874754</v>
      </c>
      <c r="O19" s="1">
        <f t="shared" si="2"/>
        <v>39.722616668410403</v>
      </c>
      <c r="P19" s="1">
        <f t="shared" si="3"/>
        <v>44.136240742678226</v>
      </c>
      <c r="R19" s="16">
        <f t="shared" si="4"/>
        <v>37.736485834989885</v>
      </c>
      <c r="S19" s="1">
        <f t="shared" si="5"/>
        <v>39.72261666841041</v>
      </c>
      <c r="T19" s="1">
        <f t="shared" si="6"/>
        <v>41.708747501830928</v>
      </c>
    </row>
    <row r="20" spans="1:20" x14ac:dyDescent="0.25">
      <c r="A20" s="1" t="s">
        <v>115</v>
      </c>
      <c r="B20" s="1">
        <v>156.90179174223431</v>
      </c>
      <c r="C20" s="1">
        <f t="shared" si="0"/>
        <v>71.169397519943544</v>
      </c>
      <c r="F20" t="s">
        <v>389</v>
      </c>
      <c r="G20">
        <f>C11</f>
        <v>53.070283495475152</v>
      </c>
      <c r="N20" s="16">
        <f t="shared" si="1"/>
        <v>66.35779407123529</v>
      </c>
      <c r="O20" s="1">
        <f t="shared" si="2"/>
        <v>85.317163805873946</v>
      </c>
      <c r="P20" s="1">
        <f t="shared" si="3"/>
        <v>94.796848673193267</v>
      </c>
      <c r="R20" s="16">
        <f t="shared" si="4"/>
        <v>81.051305615580247</v>
      </c>
      <c r="S20" s="1">
        <f t="shared" si="5"/>
        <v>85.317163805873946</v>
      </c>
      <c r="T20" s="1">
        <f t="shared" si="6"/>
        <v>89.583021996167645</v>
      </c>
    </row>
    <row r="21" spans="1:20" x14ac:dyDescent="0.25">
      <c r="A21" s="1" t="s">
        <v>120</v>
      </c>
      <c r="B21" s="1">
        <v>63.089205669753078</v>
      </c>
      <c r="C21" s="1">
        <f t="shared" si="0"/>
        <v>28.616758978154639</v>
      </c>
      <c r="F21" s="3" t="s">
        <v>391</v>
      </c>
      <c r="G21">
        <f>K27*G20</f>
        <v>41.480454275120579</v>
      </c>
    </row>
    <row r="22" spans="1:20" x14ac:dyDescent="0.25">
      <c r="A22" s="1" t="s">
        <v>125</v>
      </c>
      <c r="B22" s="1">
        <v>0.28984321134649199</v>
      </c>
      <c r="C22" s="1">
        <f t="shared" si="0"/>
        <v>0.13147056192107801</v>
      </c>
      <c r="M22" s="24" t="s">
        <v>513</v>
      </c>
      <c r="N22" s="1"/>
    </row>
    <row r="23" spans="1:20" x14ac:dyDescent="0.25">
      <c r="A23" s="1" t="s">
        <v>130</v>
      </c>
      <c r="B23" s="1">
        <v>3.574732939940068</v>
      </c>
      <c r="C23" s="1">
        <f t="shared" si="0"/>
        <v>1.6214702636932954</v>
      </c>
      <c r="M23" s="16" t="s">
        <v>35</v>
      </c>
      <c r="N23" s="50">
        <f>0.93</f>
        <v>0.93</v>
      </c>
      <c r="O23" t="s">
        <v>514</v>
      </c>
      <c r="P23">
        <f t="shared" ref="P23:P29" si="7">0.95*N23</f>
        <v>0.88349999999999995</v>
      </c>
      <c r="Q23">
        <f t="shared" ref="Q23:Q29" si="8">1.05*N23</f>
        <v>0.97650000000000015</v>
      </c>
    </row>
    <row r="24" spans="1:20" x14ac:dyDescent="0.25">
      <c r="A24" s="1" t="s">
        <v>136</v>
      </c>
      <c r="B24" s="1">
        <v>39.998363165815903</v>
      </c>
      <c r="C24" s="1">
        <f t="shared" si="0"/>
        <v>18.142937545108765</v>
      </c>
      <c r="E24" t="s">
        <v>393</v>
      </c>
      <c r="M24" s="16" t="s">
        <v>50</v>
      </c>
      <c r="N24" s="1">
        <v>0.84</v>
      </c>
      <c r="P24">
        <f t="shared" si="7"/>
        <v>0.79799999999999993</v>
      </c>
      <c r="Q24">
        <f t="shared" si="8"/>
        <v>0.88200000000000001</v>
      </c>
    </row>
    <row r="25" spans="1:20" x14ac:dyDescent="0.25">
      <c r="A25" s="1" t="s">
        <v>140</v>
      </c>
      <c r="B25" s="1">
        <v>9.1783683593055336</v>
      </c>
      <c r="C25" s="1">
        <f t="shared" si="0"/>
        <v>4.1632344608341159</v>
      </c>
      <c r="E25" s="4" t="s">
        <v>395</v>
      </c>
      <c r="F25" s="4" t="s">
        <v>396</v>
      </c>
      <c r="G25" s="4" t="s">
        <v>397</v>
      </c>
      <c r="I25" s="3" t="s">
        <v>393</v>
      </c>
      <c r="M25" s="16" t="s">
        <v>42</v>
      </c>
      <c r="N25" s="1">
        <v>0.96</v>
      </c>
      <c r="P25">
        <f t="shared" si="7"/>
        <v>0.91199999999999992</v>
      </c>
      <c r="Q25">
        <f t="shared" si="8"/>
        <v>1.008</v>
      </c>
    </row>
    <row r="26" spans="1:20" x14ac:dyDescent="0.25">
      <c r="E26" t="s">
        <v>399</v>
      </c>
      <c r="F26" t="s">
        <v>400</v>
      </c>
      <c r="G26">
        <v>89.81</v>
      </c>
      <c r="I26" s="5" t="s">
        <v>401</v>
      </c>
      <c r="J26">
        <f>G31+G40+G46</f>
        <v>52.429999999999993</v>
      </c>
      <c r="M26" s="16" t="s">
        <v>75</v>
      </c>
      <c r="N26" s="1">
        <f>0.91</f>
        <v>0.91</v>
      </c>
      <c r="P26">
        <f t="shared" si="7"/>
        <v>0.86449999999999994</v>
      </c>
      <c r="Q26">
        <f t="shared" si="8"/>
        <v>0.95550000000000013</v>
      </c>
    </row>
    <row r="27" spans="1:20" x14ac:dyDescent="0.25">
      <c r="E27" t="s">
        <v>399</v>
      </c>
      <c r="F27" t="s">
        <v>403</v>
      </c>
      <c r="G27">
        <v>4.99</v>
      </c>
      <c r="I27" s="6" t="s">
        <v>391</v>
      </c>
      <c r="J27">
        <f>G40+G46</f>
        <v>40.98</v>
      </c>
      <c r="K27" s="7">
        <f>J27/J26</f>
        <v>0.78161358001144388</v>
      </c>
      <c r="M27" s="16" t="s">
        <v>68</v>
      </c>
      <c r="N27" s="1">
        <f>0.84</f>
        <v>0.84</v>
      </c>
      <c r="P27">
        <f t="shared" si="7"/>
        <v>0.79799999999999993</v>
      </c>
      <c r="Q27">
        <f t="shared" si="8"/>
        <v>0.88200000000000001</v>
      </c>
    </row>
    <row r="28" spans="1:20" x14ac:dyDescent="0.25">
      <c r="E28" t="s">
        <v>399</v>
      </c>
      <c r="F28" t="s">
        <v>405</v>
      </c>
      <c r="G28">
        <v>64.599999999999994</v>
      </c>
      <c r="I28" s="6"/>
      <c r="M28" s="16" t="s">
        <v>59</v>
      </c>
      <c r="N28" s="1">
        <f>0.84</f>
        <v>0.84</v>
      </c>
      <c r="P28">
        <f t="shared" si="7"/>
        <v>0.79799999999999993</v>
      </c>
      <c r="Q28">
        <f t="shared" si="8"/>
        <v>0.88200000000000001</v>
      </c>
    </row>
    <row r="29" spans="1:20" x14ac:dyDescent="0.25">
      <c r="E29" t="s">
        <v>399</v>
      </c>
      <c r="F29" t="s">
        <v>407</v>
      </c>
      <c r="G29">
        <v>6.31</v>
      </c>
      <c r="I29" s="8" t="s">
        <v>408</v>
      </c>
      <c r="M29" s="16" t="s">
        <v>27</v>
      </c>
      <c r="N29" s="1">
        <v>0.95</v>
      </c>
      <c r="P29">
        <f t="shared" si="7"/>
        <v>0.90249999999999997</v>
      </c>
      <c r="Q29">
        <f t="shared" si="8"/>
        <v>0.99749999999999994</v>
      </c>
    </row>
    <row r="30" spans="1:20" x14ac:dyDescent="0.25">
      <c r="E30" t="s">
        <v>399</v>
      </c>
      <c r="F30" t="s">
        <v>49</v>
      </c>
      <c r="G30">
        <v>20.059999999999999</v>
      </c>
      <c r="I30" s="6" t="s">
        <v>389</v>
      </c>
      <c r="J30">
        <v>45.5</v>
      </c>
    </row>
    <row r="31" spans="1:20" x14ac:dyDescent="0.25">
      <c r="E31" t="s">
        <v>399</v>
      </c>
      <c r="F31" t="s">
        <v>65</v>
      </c>
      <c r="G31">
        <v>11.45</v>
      </c>
      <c r="I31" s="6" t="s">
        <v>391</v>
      </c>
      <c r="J31">
        <f>28.7+9.3</f>
        <v>38</v>
      </c>
      <c r="K31" s="7">
        <f>J31/J30</f>
        <v>0.8351648351648352</v>
      </c>
    </row>
    <row r="32" spans="1:20" x14ac:dyDescent="0.25">
      <c r="E32" t="s">
        <v>399</v>
      </c>
      <c r="F32" t="s">
        <v>412</v>
      </c>
      <c r="G32">
        <v>3.96</v>
      </c>
      <c r="Q32" s="16">
        <v>0.3</v>
      </c>
    </row>
    <row r="33" spans="5:18" x14ac:dyDescent="0.25">
      <c r="E33" t="s">
        <v>399</v>
      </c>
      <c r="F33" t="s">
        <v>414</v>
      </c>
      <c r="G33">
        <v>11.05</v>
      </c>
      <c r="M33" s="16" t="s">
        <v>504</v>
      </c>
      <c r="N33" s="16">
        <f>F8</f>
        <v>76.033808311023435</v>
      </c>
      <c r="O33" s="16">
        <v>0</v>
      </c>
      <c r="P33" s="16">
        <v>10</v>
      </c>
      <c r="R33" s="35" t="s">
        <v>515</v>
      </c>
    </row>
    <row r="34" spans="5:18" x14ac:dyDescent="0.25">
      <c r="E34" t="s">
        <v>399</v>
      </c>
      <c r="F34" t="s">
        <v>416</v>
      </c>
      <c r="G34">
        <v>11.05</v>
      </c>
    </row>
    <row r="35" spans="5:18" x14ac:dyDescent="0.25">
      <c r="E35" t="s">
        <v>399</v>
      </c>
      <c r="F35" t="s">
        <v>418</v>
      </c>
      <c r="G35">
        <v>2.1800000000000002</v>
      </c>
    </row>
    <row r="36" spans="5:18" x14ac:dyDescent="0.25">
      <c r="E36" t="s">
        <v>399</v>
      </c>
      <c r="F36" t="s">
        <v>420</v>
      </c>
      <c r="G36">
        <v>0.48</v>
      </c>
    </row>
    <row r="37" spans="5:18" x14ac:dyDescent="0.25">
      <c r="E37" t="s">
        <v>399</v>
      </c>
      <c r="F37" t="s">
        <v>422</v>
      </c>
      <c r="G37">
        <v>0.56000000000000005</v>
      </c>
    </row>
    <row r="38" spans="5:18" x14ac:dyDescent="0.25">
      <c r="E38" t="s">
        <v>399</v>
      </c>
      <c r="F38" t="s">
        <v>424</v>
      </c>
      <c r="G38">
        <v>226.49</v>
      </c>
      <c r="M38" s="26" t="s">
        <v>473</v>
      </c>
      <c r="N38" s="26" t="s">
        <v>516</v>
      </c>
      <c r="O38" s="26" t="s">
        <v>517</v>
      </c>
      <c r="P38" s="26" t="s">
        <v>277</v>
      </c>
    </row>
    <row r="39" spans="5:18" x14ac:dyDescent="0.25">
      <c r="E39" t="s">
        <v>426</v>
      </c>
      <c r="F39" t="s">
        <v>49</v>
      </c>
      <c r="G39">
        <v>0.43</v>
      </c>
      <c r="M39" s="16" t="s">
        <v>486</v>
      </c>
      <c r="N39" s="16">
        <v>3.3</v>
      </c>
      <c r="O39" s="16">
        <v>1.1174777856</v>
      </c>
      <c r="P39" s="35" t="s">
        <v>518</v>
      </c>
    </row>
    <row r="40" spans="5:18" x14ac:dyDescent="0.25">
      <c r="E40" t="s">
        <v>426</v>
      </c>
      <c r="F40" t="s">
        <v>65</v>
      </c>
      <c r="G40">
        <v>11.42</v>
      </c>
      <c r="M40" s="16" t="s">
        <v>33</v>
      </c>
      <c r="N40" s="16">
        <v>37</v>
      </c>
      <c r="O40" s="16">
        <v>50.35</v>
      </c>
      <c r="P40" s="35" t="s">
        <v>519</v>
      </c>
    </row>
    <row r="41" spans="5:18" x14ac:dyDescent="0.25">
      <c r="E41" t="s">
        <v>426</v>
      </c>
      <c r="F41" t="s">
        <v>420</v>
      </c>
      <c r="G41">
        <v>0.13</v>
      </c>
      <c r="M41" s="16" t="s">
        <v>49</v>
      </c>
      <c r="N41" s="16">
        <v>8.8000000000000007</v>
      </c>
      <c r="O41" s="16">
        <v>7.11</v>
      </c>
      <c r="P41" s="35" t="s">
        <v>520</v>
      </c>
    </row>
    <row r="42" spans="5:18" x14ac:dyDescent="0.25">
      <c r="E42" t="s">
        <v>426</v>
      </c>
      <c r="F42" t="s">
        <v>430</v>
      </c>
      <c r="G42">
        <v>0.11</v>
      </c>
      <c r="M42" s="16" t="s">
        <v>25</v>
      </c>
      <c r="N42" s="16">
        <v>30</v>
      </c>
      <c r="O42" s="16">
        <v>8.3699999999999992</v>
      </c>
      <c r="P42" s="35" t="s">
        <v>521</v>
      </c>
    </row>
    <row r="43" spans="5:18" x14ac:dyDescent="0.25">
      <c r="E43" t="s">
        <v>426</v>
      </c>
      <c r="F43" t="s">
        <v>431</v>
      </c>
      <c r="G43">
        <v>1.1200000000000001</v>
      </c>
      <c r="M43" s="16" t="s">
        <v>57</v>
      </c>
      <c r="N43" s="16">
        <v>3.5</v>
      </c>
      <c r="O43" s="16">
        <v>3.15</v>
      </c>
      <c r="P43" s="35" t="s">
        <v>522</v>
      </c>
    </row>
    <row r="44" spans="5:18" x14ac:dyDescent="0.25">
      <c r="E44" t="s">
        <v>426</v>
      </c>
      <c r="F44" t="s">
        <v>432</v>
      </c>
      <c r="G44">
        <v>13.2</v>
      </c>
      <c r="M44" s="16" t="s">
        <v>41</v>
      </c>
      <c r="N44" s="16">
        <v>22</v>
      </c>
      <c r="O44" s="16">
        <v>16.649999999999999</v>
      </c>
      <c r="P44" s="35" t="s">
        <v>523</v>
      </c>
    </row>
    <row r="45" spans="5:18" x14ac:dyDescent="0.25">
      <c r="E45" t="s">
        <v>433</v>
      </c>
      <c r="F45" t="s">
        <v>49</v>
      </c>
      <c r="G45">
        <v>0.09</v>
      </c>
      <c r="M45" s="16" t="s">
        <v>434</v>
      </c>
      <c r="N45" s="16">
        <v>1</v>
      </c>
      <c r="O45">
        <v>0.33</v>
      </c>
      <c r="P45" s="35" t="s">
        <v>524</v>
      </c>
    </row>
    <row r="46" spans="5:18" x14ac:dyDescent="0.25">
      <c r="E46" t="s">
        <v>433</v>
      </c>
      <c r="F46" t="s">
        <v>65</v>
      </c>
      <c r="G46">
        <v>29.56</v>
      </c>
    </row>
    <row r="47" spans="5:18" x14ac:dyDescent="0.25">
      <c r="E47" t="s">
        <v>433</v>
      </c>
      <c r="F47" t="s">
        <v>434</v>
      </c>
      <c r="G47">
        <v>1.78</v>
      </c>
    </row>
    <row r="48" spans="5:18" x14ac:dyDescent="0.25">
      <c r="E48" t="s">
        <v>433</v>
      </c>
      <c r="F48" t="s">
        <v>430</v>
      </c>
      <c r="G48">
        <v>0.94</v>
      </c>
    </row>
    <row r="49" spans="5:7" x14ac:dyDescent="0.25">
      <c r="E49" t="s">
        <v>433</v>
      </c>
      <c r="F49" t="s">
        <v>435</v>
      </c>
      <c r="G49">
        <v>8.4700000000000006</v>
      </c>
    </row>
    <row r="50" spans="5:7" x14ac:dyDescent="0.25">
      <c r="E50" t="s">
        <v>433</v>
      </c>
      <c r="F50" t="s">
        <v>431</v>
      </c>
      <c r="G50">
        <v>4.22</v>
      </c>
    </row>
    <row r="51" spans="5:7" x14ac:dyDescent="0.25">
      <c r="E51" t="s">
        <v>433</v>
      </c>
      <c r="F51" t="s">
        <v>436</v>
      </c>
      <c r="G51">
        <v>45.06</v>
      </c>
    </row>
  </sheetData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EEC41-3549-40FC-9BE4-BA53BC08EB04}">
  <dimension ref="A2:AK142"/>
  <sheetViews>
    <sheetView tabSelected="1" topLeftCell="J1" zoomScaleNormal="100" workbookViewId="0">
      <selection activeCell="U10" sqref="U10"/>
    </sheetView>
  </sheetViews>
  <sheetFormatPr defaultRowHeight="15" x14ac:dyDescent="0.25"/>
  <cols>
    <col min="1" max="1" width="46.28515625" bestFit="1" customWidth="1"/>
    <col min="2" max="2" width="57.140625" bestFit="1" customWidth="1"/>
    <col min="3" max="3" width="32.7109375" bestFit="1" customWidth="1"/>
    <col min="5" max="5" width="19.5703125" bestFit="1" customWidth="1"/>
    <col min="6" max="6" width="33.140625" bestFit="1" customWidth="1"/>
    <col min="7" max="7" width="44.140625" bestFit="1" customWidth="1"/>
    <col min="8" max="8" width="13.140625" bestFit="1" customWidth="1"/>
    <col min="9" max="9" width="14.28515625" bestFit="1" customWidth="1"/>
    <col min="10" max="10" width="44.140625" bestFit="1" customWidth="1"/>
    <col min="11" max="12" width="9.42578125" bestFit="1" customWidth="1"/>
    <col min="13" max="13" width="9.42578125" style="28" customWidth="1"/>
    <col min="14" max="14" width="9.42578125" customWidth="1"/>
    <col min="15" max="15" width="12.42578125" customWidth="1"/>
    <col min="16" max="16" width="25.85546875" bestFit="1" customWidth="1"/>
    <col min="17" max="17" width="20.85546875" bestFit="1" customWidth="1"/>
    <col min="18" max="18" width="21.28515625" bestFit="1" customWidth="1"/>
    <col min="19" max="19" width="29.140625" bestFit="1" customWidth="1"/>
    <col min="20" max="21" width="13.7109375" bestFit="1" customWidth="1"/>
    <col min="22" max="22" width="41.42578125" bestFit="1" customWidth="1"/>
    <col min="23" max="23" width="33" bestFit="1" customWidth="1"/>
    <col min="24" max="24" width="39.5703125" bestFit="1" customWidth="1"/>
    <col min="25" max="25" width="12.28515625" bestFit="1" customWidth="1"/>
    <col min="26" max="26" width="32.28515625" bestFit="1" customWidth="1"/>
    <col min="27" max="27" width="15.28515625" bestFit="1" customWidth="1"/>
    <col min="28" max="28" width="39.85546875" bestFit="1" customWidth="1"/>
    <col min="30" max="30" width="9.140625" style="28" customWidth="1"/>
    <col min="33" max="33" width="11" customWidth="1"/>
    <col min="34" max="34" width="11.28515625" bestFit="1" customWidth="1"/>
  </cols>
  <sheetData>
    <row r="2" spans="1:37" x14ac:dyDescent="0.25">
      <c r="A2" t="s">
        <v>437</v>
      </c>
      <c r="O2" s="1"/>
      <c r="P2" s="1" t="s">
        <v>525</v>
      </c>
      <c r="Q2" s="1" t="s">
        <v>526</v>
      </c>
      <c r="R2" s="1" t="s">
        <v>527</v>
      </c>
      <c r="S2" s="1" t="s">
        <v>528</v>
      </c>
      <c r="T2" s="1" t="s">
        <v>529</v>
      </c>
      <c r="U2" s="1" t="s">
        <v>530</v>
      </c>
    </row>
    <row r="3" spans="1:37" x14ac:dyDescent="0.25">
      <c r="A3" s="1"/>
      <c r="B3" s="1" t="s">
        <v>8</v>
      </c>
      <c r="C3" s="2" t="s">
        <v>8</v>
      </c>
      <c r="F3" t="s">
        <v>2</v>
      </c>
      <c r="O3" s="31" t="str">
        <f>A32</f>
        <v>LiCO3</v>
      </c>
      <c r="P3" s="49">
        <f>B32</f>
        <v>41.336978874459518</v>
      </c>
      <c r="Q3" s="1">
        <f>0.1*P3</f>
        <v>4.133697887445952</v>
      </c>
      <c r="R3" s="1">
        <f>B32</f>
        <v>41.336978874459518</v>
      </c>
      <c r="S3" s="1">
        <f>P3*0.9</f>
        <v>37.203280987013571</v>
      </c>
      <c r="T3" s="1">
        <f t="shared" ref="T3:T9" si="0">P3*P49</f>
        <v>488.94945441185428</v>
      </c>
      <c r="U3" s="1">
        <f>S62</f>
        <v>107.67149594062215</v>
      </c>
      <c r="AE3" t="s">
        <v>479</v>
      </c>
      <c r="AF3">
        <f t="shared" ref="AF3:AF9" si="1">Q3/P3</f>
        <v>0.1</v>
      </c>
      <c r="AG3">
        <f t="shared" ref="AG3:AG9" si="2">S3/R3</f>
        <v>0.90000000000000013</v>
      </c>
      <c r="AH3">
        <f t="shared" ref="AH3:AH9" si="3">1-U3/T3</f>
        <v>0.7797901296972759</v>
      </c>
      <c r="AI3">
        <f t="shared" ref="AI3:AI9" si="4">AF3*AG3*AH3</f>
        <v>7.0181111672754856E-2</v>
      </c>
      <c r="AJ3">
        <f t="shared" ref="AJ3:AJ9" si="5">R3/SUM($R$3:$R$9)</f>
        <v>0.10316753500628142</v>
      </c>
      <c r="AK3">
        <f t="shared" ref="AK3:AK9" si="6">AI3*AJ3</f>
        <v>7.2404122952786825E-3</v>
      </c>
    </row>
    <row r="4" spans="1:37" x14ac:dyDescent="0.25">
      <c r="A4" s="1" t="s">
        <v>18</v>
      </c>
      <c r="B4" s="1" t="s">
        <v>445</v>
      </c>
      <c r="C4" s="2" t="s">
        <v>20</v>
      </c>
      <c r="E4" s="15" t="s">
        <v>21</v>
      </c>
      <c r="F4" s="15">
        <f>C10</f>
        <v>53.070283495475152</v>
      </c>
      <c r="H4" s="14" t="s">
        <v>22</v>
      </c>
      <c r="I4" s="26" t="s">
        <v>23</v>
      </c>
      <c r="J4" s="26" t="s">
        <v>24</v>
      </c>
      <c r="O4" s="1" t="str">
        <f>A33</f>
        <v>Al</v>
      </c>
      <c r="P4" s="49">
        <f>F4</f>
        <v>53.070283495475152</v>
      </c>
      <c r="Q4" s="1">
        <f>0.5*P4</f>
        <v>26.535141747737576</v>
      </c>
      <c r="R4" s="1">
        <f>F4</f>
        <v>53.070283495475152</v>
      </c>
      <c r="S4" s="1">
        <f t="shared" ref="S4:S10" si="7">P4*0.9</f>
        <v>47.763255145927637</v>
      </c>
      <c r="T4" s="1">
        <f t="shared" si="0"/>
        <v>762.59582472314901</v>
      </c>
      <c r="U4" s="1">
        <f>S50*R4*G45/H47+S63</f>
        <v>128.53087554125483</v>
      </c>
      <c r="W4" s="31" t="str">
        <f>A38</f>
        <v>graphite</v>
      </c>
      <c r="X4" s="1">
        <f>B38</f>
        <v>76.033808311023435</v>
      </c>
      <c r="Y4" s="1">
        <f>0.26*X4</f>
        <v>19.768790160866093</v>
      </c>
      <c r="Z4" s="1">
        <f>B38</f>
        <v>76.033808311023435</v>
      </c>
      <c r="AA4" s="1">
        <f>X4*0.9</f>
        <v>68.430427479921093</v>
      </c>
      <c r="AB4" s="1">
        <f>X4*P59/1000</f>
        <v>0.66701563210446768</v>
      </c>
      <c r="AC4" s="1"/>
      <c r="AE4" t="s">
        <v>480</v>
      </c>
      <c r="AF4">
        <f t="shared" si="1"/>
        <v>0.5</v>
      </c>
      <c r="AG4">
        <f t="shared" si="2"/>
        <v>0.9</v>
      </c>
      <c r="AH4">
        <f t="shared" si="3"/>
        <v>0.83145609853303826</v>
      </c>
      <c r="AI4">
        <f t="shared" si="4"/>
        <v>0.37415524433986724</v>
      </c>
      <c r="AJ4">
        <f t="shared" si="5"/>
        <v>0.13245114856943691</v>
      </c>
      <c r="AK4">
        <f t="shared" si="6"/>
        <v>4.955729185609372E-2</v>
      </c>
    </row>
    <row r="5" spans="1:37" x14ac:dyDescent="0.25">
      <c r="A5" s="1" t="s">
        <v>30</v>
      </c>
      <c r="B5" s="1">
        <v>239.9901789948953</v>
      </c>
      <c r="C5" s="1">
        <f t="shared" ref="C5:C24" si="8">B5*0.453592</f>
        <v>108.85762527065255</v>
      </c>
      <c r="E5" s="15" t="s">
        <v>31</v>
      </c>
      <c r="F5" s="15">
        <f>C5*I6</f>
        <v>6.5947495657596873</v>
      </c>
      <c r="H5" s="16" t="s">
        <v>32</v>
      </c>
      <c r="I5" s="16">
        <f>0.8*58.693/I11</f>
        <v>0.482677659104226</v>
      </c>
      <c r="J5" s="20">
        <f>I5</f>
        <v>0.482677659104226</v>
      </c>
      <c r="O5" s="31" t="str">
        <f>A34</f>
        <v>Cu</v>
      </c>
      <c r="P5" s="49">
        <f>B34</f>
        <v>33.700287372436321</v>
      </c>
      <c r="Q5" s="50">
        <f>0.32*P5</f>
        <v>10.784091959179623</v>
      </c>
      <c r="R5" s="1">
        <f>B34</f>
        <v>33.700287372436321</v>
      </c>
      <c r="S5" s="1">
        <f t="shared" si="7"/>
        <v>30.330258635192688</v>
      </c>
      <c r="T5" s="1">
        <f t="shared" si="0"/>
        <v>130.07900659369628</v>
      </c>
      <c r="U5" s="1">
        <f>S64</f>
        <v>92.603085840464601</v>
      </c>
      <c r="AE5" t="s">
        <v>481</v>
      </c>
      <c r="AF5">
        <f t="shared" si="1"/>
        <v>0.32</v>
      </c>
      <c r="AG5">
        <f t="shared" si="2"/>
        <v>0.9</v>
      </c>
      <c r="AH5">
        <f t="shared" si="3"/>
        <v>0.28810122197725785</v>
      </c>
      <c r="AI5">
        <f t="shared" si="4"/>
        <v>8.2973151929450276E-2</v>
      </c>
      <c r="AJ5">
        <f t="shared" si="5"/>
        <v>8.4108119942111439E-2</v>
      </c>
      <c r="AK5">
        <f t="shared" si="6"/>
        <v>6.9787158144572394E-3</v>
      </c>
    </row>
    <row r="6" spans="1:37" x14ac:dyDescent="0.25">
      <c r="A6" s="1" t="s">
        <v>38</v>
      </c>
      <c r="B6" s="1">
        <v>167.62599056205451</v>
      </c>
      <c r="C6" s="1">
        <f t="shared" si="8"/>
        <v>76.033808311023435</v>
      </c>
      <c r="E6" s="15" t="s">
        <v>39</v>
      </c>
      <c r="F6" s="15">
        <f>C9</f>
        <v>33.700287372436321</v>
      </c>
      <c r="H6" s="16" t="s">
        <v>40</v>
      </c>
      <c r="I6" s="16">
        <f>0.1*58.933/I11</f>
        <v>6.0581420450456933E-2</v>
      </c>
      <c r="J6" s="20">
        <f>I6</f>
        <v>6.0581420450456933E-2</v>
      </c>
      <c r="O6" s="31" t="str">
        <f>A35</f>
        <v>CoSO4</v>
      </c>
      <c r="P6" s="49">
        <f>B35</f>
        <v>17.345321630654819</v>
      </c>
      <c r="Q6" s="1">
        <f>0.1*P6</f>
        <v>1.734532163065482</v>
      </c>
      <c r="R6" s="1">
        <f>B35</f>
        <v>17.345321630654819</v>
      </c>
      <c r="S6" s="1">
        <f t="shared" si="7"/>
        <v>15.610789467589338</v>
      </c>
      <c r="T6" s="1">
        <f t="shared" si="0"/>
        <v>105.47442554789924</v>
      </c>
      <c r="U6" s="1">
        <f>S65</f>
        <v>41.704437231498929</v>
      </c>
      <c r="AE6" t="s">
        <v>482</v>
      </c>
      <c r="AF6">
        <f t="shared" si="1"/>
        <v>0.1</v>
      </c>
      <c r="AG6">
        <f t="shared" si="2"/>
        <v>0.9</v>
      </c>
      <c r="AH6">
        <f t="shared" si="3"/>
        <v>0.60460142812003626</v>
      </c>
      <c r="AI6">
        <f t="shared" si="4"/>
        <v>5.4414128530803269E-2</v>
      </c>
      <c r="AJ6">
        <f t="shared" si="5"/>
        <v>4.3289909549520479E-2</v>
      </c>
      <c r="AK6">
        <f t="shared" si="6"/>
        <v>2.355582702314455E-3</v>
      </c>
    </row>
    <row r="7" spans="1:37" x14ac:dyDescent="0.25">
      <c r="A7" s="1" t="s">
        <v>46</v>
      </c>
      <c r="B7" s="1">
        <v>0</v>
      </c>
      <c r="C7" s="1">
        <f t="shared" si="8"/>
        <v>0</v>
      </c>
      <c r="E7" s="15" t="s">
        <v>47</v>
      </c>
      <c r="F7" s="15">
        <f>C6</f>
        <v>76.033808311023435</v>
      </c>
      <c r="H7" s="16" t="s">
        <v>48</v>
      </c>
      <c r="I7" s="16">
        <f>0.1*54.938/I11</f>
        <v>5.6474675932112792E-2</v>
      </c>
      <c r="J7" s="20">
        <f>I7</f>
        <v>5.6474675932112792E-2</v>
      </c>
      <c r="O7" s="31" t="str">
        <f>A36</f>
        <v>NiSO4</v>
      </c>
      <c r="P7" s="49">
        <f>B36</f>
        <v>138.54236656949459</v>
      </c>
      <c r="Q7" s="1">
        <f>0.1*P7</f>
        <v>13.85423665694946</v>
      </c>
      <c r="R7" s="1">
        <f>B36</f>
        <v>138.54236656949459</v>
      </c>
      <c r="S7" s="1">
        <f t="shared" si="7"/>
        <v>124.68812991254514</v>
      </c>
      <c r="T7" s="1">
        <f t="shared" si="0"/>
        <v>1027.6943164005793</v>
      </c>
      <c r="U7" s="1">
        <f>S66</f>
        <v>333.10604170576443</v>
      </c>
      <c r="AE7" t="s">
        <v>483</v>
      </c>
      <c r="AF7">
        <f t="shared" si="1"/>
        <v>0.1</v>
      </c>
      <c r="AG7">
        <f t="shared" si="2"/>
        <v>0.9</v>
      </c>
      <c r="AH7">
        <f t="shared" si="3"/>
        <v>0.67587050313517072</v>
      </c>
      <c r="AI7">
        <f t="shared" si="4"/>
        <v>6.0828345282165373E-2</v>
      </c>
      <c r="AJ7">
        <f t="shared" si="5"/>
        <v>0.3457696919825588</v>
      </c>
      <c r="AK7">
        <f t="shared" si="6"/>
        <v>2.1032598212023055E-2</v>
      </c>
    </row>
    <row r="8" spans="1:37" x14ac:dyDescent="0.25">
      <c r="A8" s="1" t="s">
        <v>54</v>
      </c>
      <c r="B8" s="1">
        <v>8.4054531290482668</v>
      </c>
      <c r="C8" s="1">
        <f t="shared" si="8"/>
        <v>3.8126462957112612</v>
      </c>
      <c r="E8" s="15" t="s">
        <v>55</v>
      </c>
      <c r="F8" s="15">
        <f>C5*I9</f>
        <v>7.7660329503626553</v>
      </c>
      <c r="H8" s="16" t="s">
        <v>56</v>
      </c>
      <c r="I8" s="16">
        <f>2*15.999/I11</f>
        <v>0.32893019048304362</v>
      </c>
      <c r="J8" s="20">
        <f>I8</f>
        <v>0.32893019048304362</v>
      </c>
      <c r="O8" s="31" t="str">
        <f>A37</f>
        <v>MnSO4</v>
      </c>
      <c r="P8" s="49">
        <f>B37</f>
        <v>16.896773085073367</v>
      </c>
      <c r="Q8" s="1">
        <f>0.1*P8</f>
        <v>1.6896773085073367</v>
      </c>
      <c r="R8" s="1">
        <f>B37</f>
        <v>16.896773085073367</v>
      </c>
      <c r="S8" s="1">
        <f t="shared" si="7"/>
        <v>15.20709577656603</v>
      </c>
      <c r="T8" s="1">
        <f t="shared" si="0"/>
        <v>13.107533035335955</v>
      </c>
      <c r="U8" s="1">
        <f>S67</f>
        <v>40.625964023402211</v>
      </c>
      <c r="AE8" t="s">
        <v>484</v>
      </c>
      <c r="AF8">
        <f t="shared" si="1"/>
        <v>0.1</v>
      </c>
      <c r="AG8">
        <f t="shared" si="2"/>
        <v>0.9</v>
      </c>
      <c r="AH8">
        <f t="shared" si="3"/>
        <v>-2.0994363251941208</v>
      </c>
      <c r="AI8">
        <f t="shared" si="4"/>
        <v>-0.18894926926747091</v>
      </c>
      <c r="AJ8">
        <f t="shared" si="5"/>
        <v>4.2170436161810404E-2</v>
      </c>
      <c r="AK8">
        <f t="shared" si="6"/>
        <v>-7.9680730974646067E-3</v>
      </c>
    </row>
    <row r="9" spans="1:37" x14ac:dyDescent="0.25">
      <c r="A9" s="1" t="s">
        <v>62</v>
      </c>
      <c r="B9" s="1">
        <v>74.296476508484105</v>
      </c>
      <c r="C9" s="1">
        <f t="shared" si="8"/>
        <v>33.700287372436321</v>
      </c>
      <c r="E9" s="15" t="s">
        <v>63</v>
      </c>
      <c r="F9" s="15">
        <f>C5*I7</f>
        <v>6.1476991098994747</v>
      </c>
      <c r="H9" s="16" t="s">
        <v>64</v>
      </c>
      <c r="I9" s="16">
        <f>6.94/I11</f>
        <v>7.1341193885627943E-2</v>
      </c>
      <c r="J9" s="20">
        <f>I9</f>
        <v>7.1341193885627943E-2</v>
      </c>
      <c r="O9" s="1" t="s">
        <v>434</v>
      </c>
      <c r="P9" s="49">
        <f>C19+C20</f>
        <v>99.78615649809818</v>
      </c>
      <c r="Q9" s="1">
        <f>0.26*P9</f>
        <v>25.944400689505528</v>
      </c>
      <c r="R9" s="1">
        <f>F11</f>
        <v>99.78615649809818</v>
      </c>
      <c r="S9" s="1">
        <f t="shared" si="7"/>
        <v>89.807540848288369</v>
      </c>
      <c r="T9" s="1">
        <f t="shared" si="0"/>
        <v>296.27599991033497</v>
      </c>
      <c r="U9" s="1">
        <f>S55*R9</f>
        <v>64.672534007956443</v>
      </c>
      <c r="V9">
        <f>U8+U7+U6+U5+U3+S63</f>
        <v>646.56283181199206</v>
      </c>
      <c r="AE9" t="s">
        <v>27</v>
      </c>
      <c r="AF9">
        <f t="shared" si="1"/>
        <v>0.26</v>
      </c>
      <c r="AG9">
        <f t="shared" si="2"/>
        <v>0.9</v>
      </c>
      <c r="AH9">
        <f t="shared" si="3"/>
        <v>0.78171524515138269</v>
      </c>
      <c r="AI9">
        <f t="shared" si="4"/>
        <v>0.18292136736542355</v>
      </c>
      <c r="AJ9">
        <f t="shared" si="5"/>
        <v>0.24904315878828057</v>
      </c>
      <c r="AK9">
        <f t="shared" si="6"/>
        <v>4.5555315138556582E-2</v>
      </c>
    </row>
    <row r="10" spans="1:37" x14ac:dyDescent="0.25">
      <c r="A10" s="1" t="s">
        <v>71</v>
      </c>
      <c r="B10" s="1">
        <v>117.0000429802006</v>
      </c>
      <c r="C10" s="1">
        <f t="shared" si="8"/>
        <v>53.070283495475152</v>
      </c>
      <c r="E10" s="15" t="s">
        <v>72</v>
      </c>
      <c r="F10" s="15">
        <f>C5*I5</f>
        <v>52.543143741283608</v>
      </c>
      <c r="O10" s="1" t="s">
        <v>531</v>
      </c>
      <c r="P10" s="1"/>
      <c r="Q10" s="1"/>
      <c r="R10" s="1"/>
      <c r="S10" s="1"/>
      <c r="T10" s="1">
        <f>SUM(T3:T9)</f>
        <v>2824.1765606228491</v>
      </c>
      <c r="U10" s="1">
        <f>SUM(U3:U9)</f>
        <v>808.91443429096353</v>
      </c>
      <c r="AK10">
        <f>SUM(AK3:AK9)</f>
        <v>0.12475184292125911</v>
      </c>
    </row>
    <row r="11" spans="1:37" x14ac:dyDescent="0.25">
      <c r="A11" s="1" t="s">
        <v>78</v>
      </c>
      <c r="B11" s="1">
        <v>0</v>
      </c>
      <c r="C11" s="1">
        <f t="shared" si="8"/>
        <v>0</v>
      </c>
      <c r="E11" s="15" t="s">
        <v>79</v>
      </c>
      <c r="F11" s="15">
        <f>C19+C20</f>
        <v>99.78615649809818</v>
      </c>
      <c r="H11" s="19" t="s">
        <v>80</v>
      </c>
      <c r="I11">
        <v>97.278999999999996</v>
      </c>
      <c r="Q11" t="s">
        <v>532</v>
      </c>
    </row>
    <row r="12" spans="1:37" ht="15.75" customHeight="1" x14ac:dyDescent="0.25">
      <c r="A12" s="1" t="s">
        <v>85</v>
      </c>
      <c r="B12" s="1">
        <v>10.434355608473711</v>
      </c>
      <c r="C12" s="1">
        <f t="shared" si="8"/>
        <v>4.7329402291588076</v>
      </c>
      <c r="Q12" s="52" t="s">
        <v>533</v>
      </c>
      <c r="S12" t="s">
        <v>534</v>
      </c>
      <c r="T12" s="1">
        <f>3954829.90961793/1000</f>
        <v>3954.8299096179303</v>
      </c>
      <c r="AF12">
        <f>SUM(Q3:Q9)/SUM(P3:P9)</f>
        <v>0.21133115122116417</v>
      </c>
      <c r="AG12">
        <f>SUM(S3:S9)/SUM(R3:R9)</f>
        <v>0.89999999999999991</v>
      </c>
      <c r="AH12">
        <f>1-U10/T10</f>
        <v>0.71357511935706874</v>
      </c>
      <c r="AJ12">
        <f>AH12*AG12*AF12</f>
        <v>0.13572058631085807</v>
      </c>
    </row>
    <row r="13" spans="1:37" x14ac:dyDescent="0.25">
      <c r="A13" s="1" t="s">
        <v>89</v>
      </c>
      <c r="B13" s="1">
        <v>28.9843211346492</v>
      </c>
      <c r="C13" s="1">
        <f t="shared" si="8"/>
        <v>13.147056192107799</v>
      </c>
    </row>
    <row r="14" spans="1:37" x14ac:dyDescent="0.25">
      <c r="A14" s="1" t="s">
        <v>93</v>
      </c>
      <c r="B14" s="1">
        <v>28.9843211346492</v>
      </c>
      <c r="C14" s="1">
        <f t="shared" si="8"/>
        <v>13.147056192107799</v>
      </c>
      <c r="O14" s="1"/>
      <c r="P14" s="1" t="s">
        <v>423</v>
      </c>
      <c r="Q14" s="1" t="s">
        <v>469</v>
      </c>
      <c r="R14" s="1" t="s">
        <v>468</v>
      </c>
      <c r="S14" s="1" t="s">
        <v>471</v>
      </c>
      <c r="V14" s="1"/>
      <c r="W14" s="1" t="s">
        <v>535</v>
      </c>
      <c r="X14" s="1" t="s">
        <v>536</v>
      </c>
      <c r="Y14" s="1" t="s">
        <v>49</v>
      </c>
      <c r="Z14" s="1" t="s">
        <v>537</v>
      </c>
      <c r="AA14" s="1" t="s">
        <v>538</v>
      </c>
      <c r="AB14" s="1" t="s">
        <v>539</v>
      </c>
      <c r="AF14">
        <f>AF12*AG12</f>
        <v>0.19019803609904773</v>
      </c>
    </row>
    <row r="15" spans="1:37" x14ac:dyDescent="0.25">
      <c r="A15" s="1" t="s">
        <v>104</v>
      </c>
      <c r="B15" s="1">
        <v>0.77291523025731201</v>
      </c>
      <c r="C15" s="1">
        <f t="shared" si="8"/>
        <v>0.35058816512287466</v>
      </c>
      <c r="H15" s="1" t="str">
        <f t="shared" ref="H15:I23" si="9">A31</f>
        <v>Raw Material</v>
      </c>
      <c r="I15" s="1" t="str">
        <f t="shared" si="9"/>
        <v>as available in cell</v>
      </c>
      <c r="O15" s="1" t="s">
        <v>540</v>
      </c>
      <c r="P15" s="1"/>
      <c r="Q15" s="1"/>
      <c r="R15" s="1"/>
      <c r="S15" s="1"/>
      <c r="V15" s="1" t="s">
        <v>541</v>
      </c>
      <c r="W15" s="1"/>
      <c r="X15" s="1"/>
      <c r="Y15" s="1" t="s">
        <v>542</v>
      </c>
      <c r="Z15" s="1"/>
      <c r="AA15" s="1"/>
      <c r="AB15" s="1"/>
    </row>
    <row r="16" spans="1:37" x14ac:dyDescent="0.25">
      <c r="A16" s="1" t="s">
        <v>107</v>
      </c>
      <c r="B16" s="1">
        <v>5.9900930344941683</v>
      </c>
      <c r="C16" s="1">
        <f t="shared" si="8"/>
        <v>2.7170582797022789</v>
      </c>
      <c r="H16" s="1" t="str">
        <f t="shared" si="9"/>
        <v>LiCO3</v>
      </c>
      <c r="I16" s="1">
        <f t="shared" si="9"/>
        <v>41.336978874459518</v>
      </c>
      <c r="O16" s="1" t="s">
        <v>543</v>
      </c>
      <c r="P16" s="1">
        <v>115.35555337919421</v>
      </c>
      <c r="Q16" s="1">
        <v>92.739405365947874</v>
      </c>
      <c r="R16" s="1">
        <v>87.80539010914049</v>
      </c>
      <c r="S16" s="1">
        <v>7.4048778465774294</v>
      </c>
      <c r="V16" s="1" t="s">
        <v>543</v>
      </c>
      <c r="W16" s="1">
        <v>4.2403736024412948E-2</v>
      </c>
      <c r="X16" s="1">
        <v>9.3501426183255382E-2</v>
      </c>
      <c r="Y16" s="1">
        <v>2.529241569205385E-2</v>
      </c>
      <c r="Z16" s="1">
        <v>1.4602806539523609E-2</v>
      </c>
      <c r="AA16" s="1">
        <v>4.6802945320607858E-3</v>
      </c>
      <c r="AB16" s="1">
        <v>1.645729457647287E-2</v>
      </c>
    </row>
    <row r="17" spans="1:28" x14ac:dyDescent="0.25">
      <c r="A17" s="1" t="s">
        <v>109</v>
      </c>
      <c r="B17" s="1">
        <v>8.9851395517412502</v>
      </c>
      <c r="C17" s="1">
        <f t="shared" si="8"/>
        <v>4.0755874195534174</v>
      </c>
      <c r="H17" s="1" t="str">
        <f t="shared" si="9"/>
        <v>Al</v>
      </c>
      <c r="I17" s="1">
        <f t="shared" si="9"/>
        <v>11.589829220354574</v>
      </c>
      <c r="O17" s="1" t="s">
        <v>544</v>
      </c>
      <c r="P17" s="1">
        <v>112.4930720819733</v>
      </c>
      <c r="Q17" s="1">
        <v>86.768633557126009</v>
      </c>
      <c r="R17" s="1">
        <v>77.023369254554012</v>
      </c>
      <c r="S17" s="1">
        <v>5.7659536199282186</v>
      </c>
      <c r="V17" s="1" t="s">
        <v>544</v>
      </c>
      <c r="W17" s="1">
        <v>3.992593956052469E-2</v>
      </c>
      <c r="X17" s="1">
        <v>6.3763299477138574E-2</v>
      </c>
      <c r="Y17" s="1">
        <v>1.9665277127219511E-2</v>
      </c>
      <c r="Z17" s="1">
        <v>1.3581185834154109E-2</v>
      </c>
      <c r="AA17" s="1">
        <v>3.8548277644597892E-3</v>
      </c>
      <c r="AB17" s="1">
        <v>1.378282279360858E-2</v>
      </c>
    </row>
    <row r="18" spans="1:28" x14ac:dyDescent="0.25">
      <c r="A18" s="1" t="s">
        <v>111</v>
      </c>
      <c r="B18" s="1">
        <v>1.6424448642967879</v>
      </c>
      <c r="C18" s="1">
        <f t="shared" si="8"/>
        <v>0.74499985088610865</v>
      </c>
      <c r="F18" s="30"/>
      <c r="H18" s="1" t="str">
        <f t="shared" si="9"/>
        <v>Cu</v>
      </c>
      <c r="I18" s="1">
        <f t="shared" si="9"/>
        <v>33.700287372436321</v>
      </c>
      <c r="O18" s="1" t="s">
        <v>545</v>
      </c>
      <c r="P18" s="1">
        <v>80.842553201247242</v>
      </c>
      <c r="Q18" s="1">
        <v>16.1431085132952</v>
      </c>
      <c r="R18" s="1">
        <v>15.48974716110861</v>
      </c>
      <c r="S18" s="1">
        <v>1.8920006592147149</v>
      </c>
      <c r="V18" s="1" t="s">
        <v>545</v>
      </c>
      <c r="W18" s="1">
        <v>5.4538109741785884E-3</v>
      </c>
      <c r="X18" s="1">
        <v>2.7877329036997571E-2</v>
      </c>
      <c r="Y18" s="1">
        <v>6.3053565367288166E-3</v>
      </c>
      <c r="Z18" s="1">
        <v>1.03930063391589E-2</v>
      </c>
      <c r="AA18" s="1">
        <v>1.0418458353268259E-3</v>
      </c>
      <c r="AB18" s="1">
        <v>2.6814986882752168E-3</v>
      </c>
    </row>
    <row r="19" spans="1:28" x14ac:dyDescent="0.25">
      <c r="A19" s="1" t="s">
        <v>115</v>
      </c>
      <c r="B19" s="1">
        <v>156.90179174223431</v>
      </c>
      <c r="C19" s="1">
        <f t="shared" si="8"/>
        <v>71.169397519943544</v>
      </c>
      <c r="H19" s="1" t="str">
        <f t="shared" si="9"/>
        <v>CoSO4</v>
      </c>
      <c r="I19" s="1">
        <f t="shared" si="9"/>
        <v>17.345321630654819</v>
      </c>
      <c r="O19" s="1" t="s">
        <v>546</v>
      </c>
      <c r="P19" s="1">
        <v>5.6270885613413446</v>
      </c>
      <c r="Q19" s="1">
        <v>35.864794293409297</v>
      </c>
      <c r="R19" s="1">
        <v>47.027913220609697</v>
      </c>
      <c r="S19" s="1">
        <v>2.801530448197</v>
      </c>
      <c r="V19" s="1" t="s">
        <v>546</v>
      </c>
      <c r="W19" s="1">
        <v>1.8633954539435449E-2</v>
      </c>
      <c r="X19" s="1">
        <v>2.6903538869066639E-2</v>
      </c>
      <c r="Y19" s="1">
        <v>9.5336187949735928E-3</v>
      </c>
      <c r="Z19" s="1">
        <v>3.2913879900325002E-3</v>
      </c>
      <c r="AA19" s="1">
        <v>2.7820945717948048E-3</v>
      </c>
      <c r="AB19" s="1">
        <v>1.0475315895142849E-2</v>
      </c>
    </row>
    <row r="20" spans="1:28" x14ac:dyDescent="0.25">
      <c r="A20" s="1" t="s">
        <v>120</v>
      </c>
      <c r="B20" s="1">
        <v>63.089205669753078</v>
      </c>
      <c r="C20" s="1">
        <f t="shared" si="8"/>
        <v>28.616758978154639</v>
      </c>
      <c r="H20" s="1" t="str">
        <f t="shared" si="9"/>
        <v>NiSO4</v>
      </c>
      <c r="I20" s="1">
        <f t="shared" si="9"/>
        <v>138.54236656949459</v>
      </c>
      <c r="O20" s="1" t="s">
        <v>547</v>
      </c>
      <c r="P20" s="1">
        <v>26.02343031938468</v>
      </c>
      <c r="Q20" s="1">
        <v>34.760730750421502</v>
      </c>
      <c r="R20" s="1">
        <v>14.505708872835701</v>
      </c>
      <c r="S20" s="1">
        <v>1.072422512516503</v>
      </c>
      <c r="V20" s="1" t="s">
        <v>547</v>
      </c>
      <c r="W20" s="1">
        <v>1.5838174046910649E-2</v>
      </c>
      <c r="X20" s="1">
        <v>8.9824315710743605E-3</v>
      </c>
      <c r="Y20" s="1">
        <v>3.826301795517096E-3</v>
      </c>
      <c r="Z20" s="1">
        <v>-1.032084950373005E-4</v>
      </c>
      <c r="AA20" s="1">
        <v>3.0887357338157752E-5</v>
      </c>
      <c r="AB20" s="1">
        <v>6.2600821019051229E-4</v>
      </c>
    </row>
    <row r="21" spans="1:28" x14ac:dyDescent="0.25">
      <c r="A21" s="1" t="s">
        <v>125</v>
      </c>
      <c r="B21" s="1">
        <v>0.28984321134649199</v>
      </c>
      <c r="C21" s="1">
        <f t="shared" si="8"/>
        <v>0.13147056192107801</v>
      </c>
      <c r="H21" s="1" t="str">
        <f t="shared" si="9"/>
        <v>MnSO4</v>
      </c>
      <c r="I21" s="1">
        <f t="shared" si="9"/>
        <v>16.896773085073367</v>
      </c>
      <c r="O21" s="1" t="s">
        <v>548</v>
      </c>
      <c r="P21" s="1">
        <v>11865.315171224751</v>
      </c>
      <c r="Q21" s="1">
        <v>6811.9230538629199</v>
      </c>
      <c r="R21" s="1">
        <v>19290.02204967977</v>
      </c>
      <c r="S21" s="1">
        <v>595.76631225618189</v>
      </c>
      <c r="V21" s="1" t="s">
        <v>549</v>
      </c>
      <c r="W21" s="1">
        <v>1.1558742570416609</v>
      </c>
      <c r="X21" s="1">
        <v>37.783915581555782</v>
      </c>
      <c r="Y21" s="1">
        <v>2.929060161384748</v>
      </c>
      <c r="Z21" s="1">
        <v>0.40197833277376849</v>
      </c>
      <c r="AA21" s="1">
        <v>0.27501018265110427</v>
      </c>
      <c r="AB21" s="1">
        <v>2.7176971597957418</v>
      </c>
    </row>
    <row r="22" spans="1:28" x14ac:dyDescent="0.25">
      <c r="A22" s="1" t="s">
        <v>130</v>
      </c>
      <c r="B22" s="1">
        <v>3.574732939940068</v>
      </c>
      <c r="C22" s="1">
        <f t="shared" si="8"/>
        <v>1.6214702636932954</v>
      </c>
      <c r="H22" s="1" t="str">
        <f t="shared" si="9"/>
        <v>graphite</v>
      </c>
      <c r="I22" s="1">
        <f t="shared" si="9"/>
        <v>76.033808311023435</v>
      </c>
      <c r="O22" s="1" t="s">
        <v>550</v>
      </c>
      <c r="P22" s="1"/>
      <c r="Q22" s="1"/>
      <c r="R22" s="1"/>
      <c r="S22" s="1"/>
      <c r="V22" s="1" t="s">
        <v>551</v>
      </c>
      <c r="W22" s="1"/>
      <c r="X22" s="1"/>
      <c r="Y22" s="1" t="s">
        <v>542</v>
      </c>
      <c r="Z22" s="1"/>
      <c r="AA22" s="1"/>
      <c r="AB22" s="1"/>
    </row>
    <row r="23" spans="1:28" x14ac:dyDescent="0.25">
      <c r="A23" s="1" t="s">
        <v>136</v>
      </c>
      <c r="B23" s="1">
        <v>39.998363165815903</v>
      </c>
      <c r="C23" s="1">
        <f t="shared" si="8"/>
        <v>18.142937545108765</v>
      </c>
      <c r="H23" s="24" t="str">
        <f t="shared" si="9"/>
        <v>TOTAL:</v>
      </c>
      <c r="I23" s="1">
        <f t="shared" si="9"/>
        <v>335.44536506349664</v>
      </c>
      <c r="O23" s="1" t="s">
        <v>552</v>
      </c>
      <c r="P23" s="1">
        <v>1844.688240416373</v>
      </c>
      <c r="Q23" s="1">
        <v>2237.5168161196771</v>
      </c>
      <c r="R23" s="1">
        <v>1502.570263029588</v>
      </c>
      <c r="S23" s="1">
        <v>80.950090659460841</v>
      </c>
      <c r="V23" s="1" t="s">
        <v>552</v>
      </c>
      <c r="W23" s="1">
        <v>0.65416776834006929</v>
      </c>
      <c r="X23" s="1">
        <v>1.0756207314326569</v>
      </c>
      <c r="Y23" s="1">
        <v>0.50095205865538406</v>
      </c>
      <c r="Z23" s="1">
        <v>1.5742684083172149</v>
      </c>
      <c r="AA23" s="1">
        <v>0.14622852105023179</v>
      </c>
      <c r="AB23" s="1">
        <v>0.47121783597763639</v>
      </c>
    </row>
    <row r="24" spans="1:28" ht="15.75" customHeight="1" thickBot="1" x14ac:dyDescent="0.3">
      <c r="A24" s="9" t="s">
        <v>140</v>
      </c>
      <c r="B24" s="9">
        <v>9.1783683593055336</v>
      </c>
      <c r="C24" s="9">
        <f t="shared" si="8"/>
        <v>4.1632344608341159</v>
      </c>
      <c r="O24" s="1" t="s">
        <v>553</v>
      </c>
      <c r="P24" s="1">
        <v>7775.7435770888906</v>
      </c>
      <c r="Q24" s="1">
        <v>8593.8941657050655</v>
      </c>
      <c r="R24" s="1">
        <v>4582.0073062231741</v>
      </c>
      <c r="S24" s="1">
        <v>313.07926811255049</v>
      </c>
      <c r="V24" s="1" t="s">
        <v>553</v>
      </c>
      <c r="W24" s="1">
        <v>18.692739738132641</v>
      </c>
      <c r="X24" s="1">
        <v>2.9853743526658252</v>
      </c>
      <c r="Y24" s="1">
        <v>1.262344713309304</v>
      </c>
      <c r="Z24" s="1">
        <v>11.041738923090669</v>
      </c>
      <c r="AA24" s="1">
        <v>1.7710891793891279</v>
      </c>
      <c r="AB24" s="1">
        <v>0.81068111864276371</v>
      </c>
    </row>
    <row r="25" spans="1:28" ht="15.75" customHeight="1" thickBot="1" x14ac:dyDescent="0.3">
      <c r="A25" s="10" t="s">
        <v>470</v>
      </c>
      <c r="B25" s="11">
        <f>SUM(B5:B24)</f>
        <v>966.14403782163981</v>
      </c>
      <c r="C25" s="12">
        <f>SUM(C5:C24)</f>
        <v>438.23520640359334</v>
      </c>
      <c r="O25" s="1" t="s">
        <v>554</v>
      </c>
      <c r="P25" s="1">
        <v>16281.579407785481</v>
      </c>
      <c r="Q25" s="1">
        <v>16097.09946375357</v>
      </c>
      <c r="R25" s="1">
        <v>7985.8501767559856</v>
      </c>
      <c r="S25" s="1">
        <v>700.39275388674355</v>
      </c>
      <c r="V25" s="1" t="s">
        <v>554</v>
      </c>
      <c r="W25" s="1">
        <v>2.1896353994083699</v>
      </c>
      <c r="X25" s="1">
        <v>6.2569281648687101</v>
      </c>
      <c r="Y25" s="1">
        <v>2.1392642056133879</v>
      </c>
      <c r="Z25" s="1">
        <v>1.4433378708395459</v>
      </c>
      <c r="AA25" s="1">
        <v>0.32652808075065792</v>
      </c>
      <c r="AB25" s="1">
        <v>1.3772535039449429</v>
      </c>
    </row>
    <row r="26" spans="1:28" x14ac:dyDescent="0.25">
      <c r="O26" s="1" t="s">
        <v>555</v>
      </c>
      <c r="P26" s="1">
        <v>2941.944876590997</v>
      </c>
      <c r="Q26" s="1">
        <v>1438.362026784946</v>
      </c>
      <c r="R26" s="1">
        <v>21864.981311351032</v>
      </c>
      <c r="S26" s="1">
        <v>1764.0904161082681</v>
      </c>
      <c r="V26" s="1" t="s">
        <v>555</v>
      </c>
      <c r="W26" s="1">
        <v>0.24021639256614291</v>
      </c>
      <c r="X26" s="1">
        <v>1.3419315614827489</v>
      </c>
      <c r="Y26" s="1">
        <v>0.34693161735867512</v>
      </c>
      <c r="Z26" s="1">
        <v>0.76072345663024232</v>
      </c>
      <c r="AA26" s="1">
        <v>0.32905941001022049</v>
      </c>
      <c r="AB26" s="1">
        <v>0.29194243138737652</v>
      </c>
    </row>
    <row r="27" spans="1:28" x14ac:dyDescent="0.25">
      <c r="F27" t="s">
        <v>556</v>
      </c>
      <c r="O27" s="1" t="s">
        <v>557</v>
      </c>
      <c r="P27" s="1">
        <v>2074.8602602857891</v>
      </c>
      <c r="Q27" s="1">
        <v>1059.005707670088</v>
      </c>
      <c r="R27" s="1">
        <v>2640.8949276668709</v>
      </c>
      <c r="S27" s="1">
        <v>891.64816785682763</v>
      </c>
      <c r="V27" s="1" t="s">
        <v>557</v>
      </c>
      <c r="W27" s="1">
        <v>0.1479149074864472</v>
      </c>
      <c r="X27" s="1">
        <v>1.448320139239182</v>
      </c>
      <c r="Y27" s="1">
        <v>0.2367788117303441</v>
      </c>
      <c r="Z27" s="1">
        <v>0.36380852132897701</v>
      </c>
      <c r="AA27" s="1">
        <v>0.16847068080993521</v>
      </c>
      <c r="AB27" s="1">
        <v>0.23404745192834719</v>
      </c>
    </row>
    <row r="28" spans="1:28" x14ac:dyDescent="0.25">
      <c r="A28" s="87" t="s">
        <v>472</v>
      </c>
      <c r="B28" s="88"/>
      <c r="C28" s="13">
        <f>SUM(C5:C18)-H48</f>
        <v>272.90948279881729</v>
      </c>
      <c r="G28" t="s">
        <v>558</v>
      </c>
      <c r="O28" s="1" t="s">
        <v>559</v>
      </c>
      <c r="P28" s="1">
        <v>13865.112807884239</v>
      </c>
      <c r="Q28" s="1">
        <v>243784.7870470192</v>
      </c>
      <c r="R28" s="1">
        <v>22287.94800248809</v>
      </c>
      <c r="S28" s="1">
        <v>1528.685365085732</v>
      </c>
      <c r="V28" s="1" t="s">
        <v>559</v>
      </c>
      <c r="W28" s="1">
        <v>0.75412685462635998</v>
      </c>
      <c r="X28" s="1">
        <v>17.736062761459792</v>
      </c>
      <c r="Y28" s="1">
        <v>1.9511901921089041</v>
      </c>
      <c r="Z28" s="1">
        <v>5.5083069363156394</v>
      </c>
      <c r="AA28" s="1">
        <v>0.28608705897754921</v>
      </c>
      <c r="AB28" s="1">
        <v>1.2321048167482169</v>
      </c>
    </row>
    <row r="29" spans="1:28" x14ac:dyDescent="0.25">
      <c r="G29" t="s">
        <v>157</v>
      </c>
      <c r="O29" s="1" t="s">
        <v>560</v>
      </c>
      <c r="P29" s="1">
        <v>181.50086005114329</v>
      </c>
      <c r="Q29" s="1">
        <v>93.17849952870769</v>
      </c>
      <c r="R29" s="1">
        <v>75.189213821660147</v>
      </c>
      <c r="S29" s="1">
        <v>3.9878461058498909</v>
      </c>
      <c r="V29" s="1" t="s">
        <v>560</v>
      </c>
      <c r="W29" s="1">
        <v>1.265560144070977E-2</v>
      </c>
      <c r="X29" s="1">
        <v>2.5122321338963551E-2</v>
      </c>
      <c r="Y29" s="1">
        <v>1.116570325461755E-2</v>
      </c>
      <c r="Z29" s="1">
        <v>4.4037466219032564E-3</v>
      </c>
      <c r="AA29" s="1">
        <v>1.5171555199421901E-3</v>
      </c>
      <c r="AB29" s="1">
        <v>7.2524387877371177E-3</v>
      </c>
    </row>
    <row r="30" spans="1:28" x14ac:dyDescent="0.25">
      <c r="G30" t="s">
        <v>561</v>
      </c>
      <c r="O30" s="1" t="s">
        <v>562</v>
      </c>
      <c r="P30" s="1">
        <v>360.12903626959468</v>
      </c>
      <c r="Q30" s="1">
        <v>191.54336618568081</v>
      </c>
      <c r="R30" s="1">
        <v>135.793567993701</v>
      </c>
      <c r="S30" s="1">
        <v>13.73354736327942</v>
      </c>
      <c r="V30" s="1" t="s">
        <v>562</v>
      </c>
      <c r="W30" s="1">
        <v>3.4406760838325688E-2</v>
      </c>
      <c r="X30" s="1">
        <v>6.5050676480171835E-2</v>
      </c>
      <c r="Y30" s="1">
        <v>3.4386218006003957E-2</v>
      </c>
      <c r="Z30" s="1">
        <v>1.258003957026795E-2</v>
      </c>
      <c r="AA30" s="1">
        <v>5.3704787084454539E-3</v>
      </c>
      <c r="AB30" s="1">
        <v>1.9536673007940059E-2</v>
      </c>
    </row>
    <row r="31" spans="1:28" x14ac:dyDescent="0.25">
      <c r="A31" s="1" t="s">
        <v>476</v>
      </c>
      <c r="B31" s="1" t="s">
        <v>563</v>
      </c>
      <c r="F31" t="s">
        <v>558</v>
      </c>
      <c r="G31">
        <v>0</v>
      </c>
      <c r="O31" s="1" t="s">
        <v>564</v>
      </c>
      <c r="P31" s="1">
        <v>15148.24790585902</v>
      </c>
      <c r="Q31" s="1">
        <v>10910.671216437249</v>
      </c>
      <c r="R31" s="1">
        <v>10817.55955898293</v>
      </c>
      <c r="S31" s="1">
        <v>801.65867882675059</v>
      </c>
      <c r="V31" s="1" t="s">
        <v>564</v>
      </c>
      <c r="W31" s="1">
        <v>82.827668291930109</v>
      </c>
      <c r="X31" s="1">
        <v>10.0044561936564</v>
      </c>
      <c r="Y31" s="1">
        <v>2.7463703967292772</v>
      </c>
      <c r="Z31" s="1">
        <v>2.0495350379088402</v>
      </c>
      <c r="AA31" s="1">
        <v>0.57012165303989248</v>
      </c>
      <c r="AB31" s="1">
        <v>2.1216792802750368</v>
      </c>
    </row>
    <row r="32" spans="1:28" x14ac:dyDescent="0.25">
      <c r="A32" s="1" t="s">
        <v>479</v>
      </c>
      <c r="B32" s="1">
        <f>C5*B49/C55</f>
        <v>41.336978874459518</v>
      </c>
      <c r="C32" s="7">
        <f t="shared" ref="C32:C38" si="10">B32/$B$39</f>
        <v>0.12323013873402251</v>
      </c>
      <c r="D32" s="7">
        <f t="shared" ref="D32:D38" si="11">B32/$C$25</f>
        <v>9.4326010942147279E-2</v>
      </c>
      <c r="F32" t="s">
        <v>565</v>
      </c>
      <c r="G32" s="7">
        <v>2.4193105920846291E-2</v>
      </c>
      <c r="O32" s="1" t="s">
        <v>566</v>
      </c>
      <c r="P32" s="1">
        <v>113.03767633984209</v>
      </c>
      <c r="Q32" s="1">
        <v>191.86557532729901</v>
      </c>
      <c r="R32" s="1">
        <v>170.22722992227619</v>
      </c>
      <c r="S32" s="1">
        <v>17.834402831069479</v>
      </c>
      <c r="V32" s="1" t="s">
        <v>566</v>
      </c>
      <c r="W32" s="1">
        <v>3.5543274252760639E-2</v>
      </c>
      <c r="X32" s="1">
        <v>9.8901242957514693E-2</v>
      </c>
      <c r="Y32" s="1">
        <v>0.48251745962359899</v>
      </c>
      <c r="Z32" s="1">
        <v>1.130003302314958E-2</v>
      </c>
      <c r="AA32" s="1">
        <v>6.6418678823458978E-3</v>
      </c>
      <c r="AB32" s="1">
        <v>2.567067794468509E-2</v>
      </c>
    </row>
    <row r="33" spans="1:28" x14ac:dyDescent="0.25">
      <c r="A33" s="1" t="s">
        <v>480</v>
      </c>
      <c r="B33" s="1">
        <f>H47-H48</f>
        <v>11.589829220354574</v>
      </c>
      <c r="C33" s="7">
        <f t="shared" si="10"/>
        <v>3.455057194831334E-2</v>
      </c>
      <c r="D33" s="7">
        <f t="shared" si="11"/>
        <v>2.6446595460614144E-2</v>
      </c>
      <c r="F33" t="s">
        <v>49</v>
      </c>
      <c r="G33" s="7">
        <v>0</v>
      </c>
      <c r="O33" s="1" t="s">
        <v>567</v>
      </c>
      <c r="P33" s="1">
        <v>10714973.63790263</v>
      </c>
      <c r="Q33" s="1">
        <v>6718014.2123218337</v>
      </c>
      <c r="R33" s="1">
        <v>5505176.9165603817</v>
      </c>
      <c r="S33" s="1">
        <v>702619.65990391502</v>
      </c>
      <c r="V33" s="1" t="s">
        <v>567</v>
      </c>
      <c r="W33" s="1">
        <v>1469.816822442938</v>
      </c>
      <c r="X33" s="1">
        <v>5952.1962980944618</v>
      </c>
      <c r="Y33" s="1">
        <v>1533.6993207108751</v>
      </c>
      <c r="Z33" s="1">
        <v>1260.3480744177621</v>
      </c>
      <c r="AA33" s="1">
        <v>271.93694203406778</v>
      </c>
      <c r="AB33" s="1">
        <v>981.07828346368183</v>
      </c>
    </row>
    <row r="34" spans="1:28" x14ac:dyDescent="0.25">
      <c r="A34" s="1" t="s">
        <v>481</v>
      </c>
      <c r="B34" s="1">
        <f>C9</f>
        <v>33.700287372436321</v>
      </c>
      <c r="C34" s="7">
        <f t="shared" si="10"/>
        <v>0.1004643106815835</v>
      </c>
      <c r="D34" s="7">
        <f t="shared" si="11"/>
        <v>7.6899999999999982E-2</v>
      </c>
      <c r="F34" t="s">
        <v>405</v>
      </c>
      <c r="G34" s="7">
        <v>0.24878276923274001</v>
      </c>
      <c r="O34" s="1" t="s">
        <v>568</v>
      </c>
      <c r="P34" s="1"/>
      <c r="Q34" s="1"/>
      <c r="R34" s="1"/>
      <c r="S34" s="1"/>
      <c r="V34" s="1" t="s">
        <v>569</v>
      </c>
      <c r="W34" s="1">
        <v>1501.2299506237109</v>
      </c>
      <c r="X34" s="1">
        <v>5960.2399519282844</v>
      </c>
      <c r="Y34" s="1">
        <v>1537.24430584317</v>
      </c>
      <c r="Z34" s="1">
        <v>1282.60584831235</v>
      </c>
      <c r="AA34" s="1">
        <v>275.17582773038112</v>
      </c>
      <c r="AB34" s="1">
        <v>983.82083985796498</v>
      </c>
    </row>
    <row r="35" spans="1:28" x14ac:dyDescent="0.25">
      <c r="A35" s="1" t="s">
        <v>482</v>
      </c>
      <c r="B35" s="1">
        <f>C5*B46/C53</f>
        <v>17.345321630654819</v>
      </c>
      <c r="C35" s="7">
        <f t="shared" si="10"/>
        <v>5.1708335953223002E-2</v>
      </c>
      <c r="D35" s="7">
        <f t="shared" si="11"/>
        <v>3.9579936475210117E-2</v>
      </c>
      <c r="F35" t="s">
        <v>570</v>
      </c>
      <c r="G35" s="7">
        <v>0.13829697015025599</v>
      </c>
      <c r="O35" s="1" t="s">
        <v>552</v>
      </c>
      <c r="P35" s="1">
        <v>73.96441695104258</v>
      </c>
      <c r="Q35" s="1">
        <v>98.97599611906341</v>
      </c>
      <c r="R35" s="1">
        <v>75.209894673353133</v>
      </c>
      <c r="S35" s="1">
        <v>6.3735081169700258</v>
      </c>
      <c r="U35" s="38" t="s">
        <v>571</v>
      </c>
      <c r="V35" s="39" t="s">
        <v>572</v>
      </c>
      <c r="W35" s="39">
        <v>3979.1977795942312</v>
      </c>
      <c r="X35" s="39">
        <v>6517.9237056296661</v>
      </c>
      <c r="Y35" s="39">
        <v>1750.813410142945</v>
      </c>
      <c r="Z35" s="39">
        <v>1346.766901457353</v>
      </c>
      <c r="AA35" s="39">
        <v>293.97868292285028</v>
      </c>
      <c r="AB35" s="39">
        <v>1068.1303672536019</v>
      </c>
    </row>
    <row r="36" spans="1:28" x14ac:dyDescent="0.25">
      <c r="A36" s="1" t="s">
        <v>483</v>
      </c>
      <c r="B36" s="1">
        <f>C5*B45/C52</f>
        <v>138.54236656949459</v>
      </c>
      <c r="C36" s="7">
        <f t="shared" si="10"/>
        <v>0.4130102275918161</v>
      </c>
      <c r="D36" s="7">
        <f t="shared" si="11"/>
        <v>0.31613700712558407</v>
      </c>
      <c r="F36" t="s">
        <v>573</v>
      </c>
      <c r="G36" s="7">
        <v>2.255308321448855E-2</v>
      </c>
      <c r="O36" s="1" t="s">
        <v>553</v>
      </c>
      <c r="P36" s="1">
        <v>141.57344373968999</v>
      </c>
      <c r="Q36" s="1">
        <v>277.26364374138052</v>
      </c>
      <c r="R36" s="1">
        <v>330.54961113182469</v>
      </c>
      <c r="S36" s="1">
        <v>37.249893960218891</v>
      </c>
      <c r="V36" s="1" t="s">
        <v>574</v>
      </c>
      <c r="W36" s="1"/>
      <c r="X36" s="1"/>
      <c r="Y36" s="1" t="s">
        <v>542</v>
      </c>
      <c r="Z36" s="1"/>
      <c r="AA36" s="1"/>
      <c r="AB36" s="1"/>
    </row>
    <row r="37" spans="1:28" x14ac:dyDescent="0.25">
      <c r="A37" s="1" t="s">
        <v>484</v>
      </c>
      <c r="B37" s="1">
        <f>C5*B47/C54</f>
        <v>16.896773085073367</v>
      </c>
      <c r="C37" s="7">
        <f t="shared" si="10"/>
        <v>5.0371162773034495E-2</v>
      </c>
      <c r="D37" s="7">
        <f t="shared" si="11"/>
        <v>3.8556402676402632E-2</v>
      </c>
      <c r="F37" t="s">
        <v>575</v>
      </c>
      <c r="G37" s="7">
        <v>0.19275665122253829</v>
      </c>
      <c r="O37" s="1" t="s">
        <v>576</v>
      </c>
      <c r="P37" s="1">
        <v>325.95545252194449</v>
      </c>
      <c r="Q37" s="1">
        <v>594.92777792786831</v>
      </c>
      <c r="R37" s="1">
        <v>624.41079440872431</v>
      </c>
      <c r="S37" s="1">
        <v>86.04711831022324</v>
      </c>
      <c r="V37" s="1" t="s">
        <v>552</v>
      </c>
      <c r="W37" s="1">
        <v>4.6796729453438803E-2</v>
      </c>
      <c r="X37" s="1">
        <v>4.8101528301944342E-2</v>
      </c>
      <c r="Y37" s="1">
        <v>1.9942111903999461E-2</v>
      </c>
      <c r="Z37" s="1">
        <v>2.7689780516382029E-3</v>
      </c>
      <c r="AA37" s="1">
        <v>2.4819348950531712E-3</v>
      </c>
      <c r="AB37" s="1">
        <v>9.3182219820127834E-3</v>
      </c>
    </row>
    <row r="38" spans="1:28" x14ac:dyDescent="0.25">
      <c r="A38" s="1" t="s">
        <v>504</v>
      </c>
      <c r="B38" s="1">
        <f>C6</f>
        <v>76.033808311023435</v>
      </c>
      <c r="C38" s="7">
        <f t="shared" si="10"/>
        <v>0.22666525231800699</v>
      </c>
      <c r="D38" s="7">
        <f t="shared" si="11"/>
        <v>0.17349999999999999</v>
      </c>
      <c r="O38" s="1" t="s">
        <v>555</v>
      </c>
      <c r="P38" s="1">
        <v>36.721019864514012</v>
      </c>
      <c r="Q38" s="1">
        <v>56.031853673106909</v>
      </c>
      <c r="R38" s="1">
        <v>57.973685623469997</v>
      </c>
      <c r="S38" s="1">
        <v>9.2489795726171948</v>
      </c>
      <c r="V38" s="1" t="s">
        <v>553</v>
      </c>
      <c r="W38" s="1">
        <v>0.114150598824473</v>
      </c>
      <c r="X38" s="1">
        <v>0.33911812073249081</v>
      </c>
      <c r="Y38" s="1">
        <v>0.11793377379204149</v>
      </c>
      <c r="Z38" s="1">
        <v>2.6098879772240308E-2</v>
      </c>
      <c r="AA38" s="1">
        <v>2.1348333339808508E-2</v>
      </c>
      <c r="AB38" s="1">
        <v>5.9694975380543809E-2</v>
      </c>
    </row>
    <row r="39" spans="1:28" x14ac:dyDescent="0.25">
      <c r="A39" s="24" t="s">
        <v>487</v>
      </c>
      <c r="B39" s="1">
        <f>SUM(B32:B38)</f>
        <v>335.44536506349664</v>
      </c>
      <c r="O39" s="1" t="s">
        <v>557</v>
      </c>
      <c r="P39" s="1">
        <v>30.041953887656849</v>
      </c>
      <c r="Q39" s="1">
        <v>47.108866431363879</v>
      </c>
      <c r="R39" s="1">
        <v>47.659623191025439</v>
      </c>
      <c r="S39" s="1">
        <v>7.8191712286401263</v>
      </c>
      <c r="V39" s="1" t="s">
        <v>576</v>
      </c>
      <c r="W39" s="1">
        <v>0.18776352574345079</v>
      </c>
      <c r="X39" s="1">
        <v>0.70244873751899117</v>
      </c>
      <c r="Y39" s="1">
        <v>0.25503096150502869</v>
      </c>
      <c r="Z39" s="1">
        <v>5.1733575860751543E-2</v>
      </c>
      <c r="AA39" s="1">
        <v>4.0337358940269817E-2</v>
      </c>
      <c r="AB39" s="1">
        <v>0.105469926433457</v>
      </c>
    </row>
    <row r="40" spans="1:28" x14ac:dyDescent="0.25">
      <c r="O40" s="1" t="s">
        <v>559</v>
      </c>
      <c r="P40" s="1">
        <v>306.01157595198868</v>
      </c>
      <c r="Q40" s="1">
        <v>447.77198958024871</v>
      </c>
      <c r="R40" s="1">
        <v>530.13975641177854</v>
      </c>
      <c r="S40" s="1">
        <v>77.160309601005082</v>
      </c>
      <c r="V40" s="1" t="s">
        <v>555</v>
      </c>
      <c r="W40" s="1">
        <v>1.9299563197852421E-2</v>
      </c>
      <c r="X40" s="1">
        <v>7.3860551462224117E-2</v>
      </c>
      <c r="Y40" s="1">
        <v>2.750057221276913E-2</v>
      </c>
      <c r="Z40" s="1">
        <v>4.8809640082502284E-3</v>
      </c>
      <c r="AA40" s="1">
        <v>3.9815572193134217E-3</v>
      </c>
      <c r="AB40" s="1">
        <v>8.7658399018482689E-3</v>
      </c>
    </row>
    <row r="41" spans="1:28" x14ac:dyDescent="0.25">
      <c r="O41" s="1" t="s">
        <v>560</v>
      </c>
      <c r="P41" s="1">
        <v>2.2964365872683228</v>
      </c>
      <c r="Q41" s="1">
        <v>3.3726011802094882</v>
      </c>
      <c r="R41" s="1">
        <v>2.789406867244415</v>
      </c>
      <c r="S41" s="1">
        <v>0.48108570027415071</v>
      </c>
      <c r="V41" s="1" t="s">
        <v>557</v>
      </c>
      <c r="W41" s="1">
        <v>1.6086015923671759E-2</v>
      </c>
      <c r="X41" s="1">
        <v>6.0024423549432541E-2</v>
      </c>
      <c r="Y41" s="1">
        <v>2.297383951436827E-2</v>
      </c>
      <c r="Z41" s="1">
        <v>4.0787475601256383E-3</v>
      </c>
      <c r="AA41" s="1">
        <v>3.327628429072119E-3</v>
      </c>
      <c r="AB41" s="1">
        <v>7.2414510697180216E-3</v>
      </c>
    </row>
    <row r="42" spans="1:28" x14ac:dyDescent="0.25">
      <c r="O42" s="1" t="s">
        <v>562</v>
      </c>
      <c r="P42" s="1">
        <v>4.6586580249022109</v>
      </c>
      <c r="Q42" s="1">
        <v>9.0502355034548643</v>
      </c>
      <c r="R42" s="1">
        <v>9.4755039248757917</v>
      </c>
      <c r="S42" s="1">
        <v>2.1990273730026861</v>
      </c>
      <c r="V42" s="1" t="s">
        <v>559</v>
      </c>
      <c r="W42" s="1">
        <v>0.1167272157613873</v>
      </c>
      <c r="X42" s="1">
        <v>0.72722318258249063</v>
      </c>
      <c r="Y42" s="1">
        <v>0.24062203718247069</v>
      </c>
      <c r="Z42" s="1">
        <v>4.3139112477266123E-2</v>
      </c>
      <c r="AA42" s="1">
        <v>3.4999804581568497E-2</v>
      </c>
      <c r="AB42" s="1">
        <v>8.1023353809735341E-2</v>
      </c>
    </row>
    <row r="43" spans="1:28" x14ac:dyDescent="0.25">
      <c r="F43" s="3" t="s">
        <v>386</v>
      </c>
      <c r="O43" s="39" t="s">
        <v>577</v>
      </c>
      <c r="P43" s="39">
        <f>P33*$Q$118+SUM(P31:P32,$Q$119:$Q$120)+SUMPRODUCT(P23:P25,$Q$123:$Q$125)+SUMPRODUCT(P29:P30,$Q$126:$Q$127)</f>
        <v>10730537.723484829</v>
      </c>
      <c r="Q43" s="39">
        <f>Q33*$Q$118+SUM(Q31:Q32,$Q$119:$Q$120)+SUMPRODUCT(Q23:Q25,$Q$123:$Q$125)+SUMPRODUCT(Q29:Q30,$Q$126:$Q$127)</f>
        <v>6729419.5491135987</v>
      </c>
      <c r="R43" s="39">
        <f>R33*$Q$118+SUM(R31:R32,$Q$119:$Q$120)+SUMPRODUCT(R23:R25,$Q$123:$Q$125)+SUMPRODUCT(R29:R30,$Q$126:$Q$127)</f>
        <v>5516467.5033492865</v>
      </c>
      <c r="S43" s="39">
        <f>S33*$Q$118+SUM(S31:S32,$Q$119:$Q$120)+SUMPRODUCT(S23:S25,$Q$123:$Q$125)+SUMPRODUCT(S29:S30,$Q$126:$Q$127)</f>
        <v>703741.95298557286</v>
      </c>
      <c r="V43" s="1" t="s">
        <v>560</v>
      </c>
      <c r="W43" s="1">
        <v>1.2724950047081701E-3</v>
      </c>
      <c r="X43" s="1">
        <v>2.9910563281969988E-3</v>
      </c>
      <c r="Y43" s="1">
        <v>1.314018458085981E-3</v>
      </c>
      <c r="Z43" s="1">
        <v>1.8926925069675851E-4</v>
      </c>
      <c r="AA43" s="1">
        <v>1.5640516129445111E-4</v>
      </c>
      <c r="AB43" s="1">
        <v>3.7024357869892388E-4</v>
      </c>
    </row>
    <row r="44" spans="1:28" x14ac:dyDescent="0.25">
      <c r="A44" s="14" t="s">
        <v>22</v>
      </c>
      <c r="B44" s="14" t="s">
        <v>23</v>
      </c>
      <c r="C44" s="14" t="s">
        <v>24</v>
      </c>
      <c r="F44" s="1" t="s">
        <v>387</v>
      </c>
      <c r="G44" s="13">
        <f>C19+C20</f>
        <v>99.78615649809818</v>
      </c>
      <c r="O44" s="39" t="s">
        <v>578</v>
      </c>
      <c r="P44" s="39">
        <f>1/2000*2.20462*P43/1000</f>
        <v>11.828379037974562</v>
      </c>
      <c r="Q44" s="39">
        <f>1/2000*2.20462*Q43/1000</f>
        <v>7.4179064631834111</v>
      </c>
      <c r="R44" s="39">
        <f>1/2000*2.20462*R43/1000</f>
        <v>6.080857293616952</v>
      </c>
      <c r="S44" s="39">
        <f>1/2000*2.20462*S43/1000</f>
        <v>0.77574179219552686</v>
      </c>
      <c r="V44" s="1" t="s">
        <v>562</v>
      </c>
      <c r="W44" s="1">
        <v>3.736316007827718E-3</v>
      </c>
      <c r="X44" s="1">
        <v>1.1516094314452529E-2</v>
      </c>
      <c r="Y44" s="1">
        <v>5.7975643883269807E-3</v>
      </c>
      <c r="Z44" s="1">
        <v>1.141982031568122E-3</v>
      </c>
      <c r="AA44" s="1">
        <v>9.0140816152213467E-4</v>
      </c>
      <c r="AB44" s="1">
        <v>1.6928491865244419E-3</v>
      </c>
    </row>
    <row r="45" spans="1:28" x14ac:dyDescent="0.25">
      <c r="A45" s="16" t="s">
        <v>32</v>
      </c>
      <c r="B45" s="16">
        <f>0.8*58.693/B51</f>
        <v>0.482677659104226</v>
      </c>
      <c r="C45" s="20">
        <f>B45</f>
        <v>0.482677659104226</v>
      </c>
      <c r="F45" s="1" t="s">
        <v>388</v>
      </c>
      <c r="G45" s="13">
        <f>H48</f>
        <v>41.480454275120579</v>
      </c>
      <c r="V45" s="39" t="s">
        <v>578</v>
      </c>
      <c r="W45" s="39">
        <f t="shared" ref="W45:AB45" si="12">2.20462*W35/1000</f>
        <v>8.7726190088490323</v>
      </c>
      <c r="X45" s="39">
        <f t="shared" si="12"/>
        <v>14.369544959905273</v>
      </c>
      <c r="Y45" s="39">
        <f t="shared" si="12"/>
        <v>3.8598782602693391</v>
      </c>
      <c r="Z45" s="39">
        <f t="shared" si="12"/>
        <v>2.969109246290909</v>
      </c>
      <c r="AA45" s="39">
        <f t="shared" si="12"/>
        <v>0.64811128394537409</v>
      </c>
      <c r="AB45" s="39">
        <f t="shared" si="12"/>
        <v>2.3548215702546353</v>
      </c>
    </row>
    <row r="46" spans="1:28" x14ac:dyDescent="0.25">
      <c r="A46" s="16" t="s">
        <v>40</v>
      </c>
      <c r="B46" s="16">
        <f>0.1*58.933/B51</f>
        <v>6.0581420450456933E-2</v>
      </c>
      <c r="C46" s="20">
        <f>B46</f>
        <v>6.0581420450456933E-2</v>
      </c>
    </row>
    <row r="47" spans="1:28" x14ac:dyDescent="0.25">
      <c r="A47" s="16" t="s">
        <v>48</v>
      </c>
      <c r="B47" s="16">
        <f>0.1*54.938/B51</f>
        <v>5.6474675932112792E-2</v>
      </c>
      <c r="C47" s="20">
        <f>B47</f>
        <v>5.6474675932112792E-2</v>
      </c>
      <c r="G47" t="s">
        <v>389</v>
      </c>
      <c r="H47">
        <f>C10</f>
        <v>53.070283495475152</v>
      </c>
    </row>
    <row r="48" spans="1:28" x14ac:dyDescent="0.25">
      <c r="A48" s="16" t="s">
        <v>56</v>
      </c>
      <c r="B48" s="16">
        <f>2*15.999/B51</f>
        <v>0.32893019048304362</v>
      </c>
      <c r="C48" s="20">
        <f>B48</f>
        <v>0.32893019048304362</v>
      </c>
      <c r="G48" t="s">
        <v>391</v>
      </c>
      <c r="H48">
        <f>L54*H47</f>
        <v>41.480454275120579</v>
      </c>
      <c r="O48" t="s">
        <v>579</v>
      </c>
      <c r="P48" s="39" t="s">
        <v>578</v>
      </c>
      <c r="R48" t="s">
        <v>580</v>
      </c>
      <c r="S48" s="39" t="s">
        <v>578</v>
      </c>
    </row>
    <row r="49" spans="1:27" x14ac:dyDescent="0.25">
      <c r="A49" s="16" t="s">
        <v>64</v>
      </c>
      <c r="B49" s="16">
        <f>6.94/B51</f>
        <v>7.1341193885627943E-2</v>
      </c>
      <c r="C49" s="20">
        <f>B49</f>
        <v>7.1341193885627943E-2</v>
      </c>
      <c r="O49" s="39" t="s">
        <v>479</v>
      </c>
      <c r="P49" s="39">
        <f>P44</f>
        <v>11.828379037974562</v>
      </c>
      <c r="R49" s="39" t="s">
        <v>479</v>
      </c>
      <c r="S49" s="39">
        <f>W80*R62</f>
        <v>0.39453189693666729</v>
      </c>
      <c r="V49" s="1"/>
      <c r="W49" s="1" t="s">
        <v>561</v>
      </c>
    </row>
    <row r="50" spans="1:27" x14ac:dyDescent="0.25">
      <c r="O50" s="39" t="s">
        <v>480</v>
      </c>
      <c r="P50" s="39">
        <f>X45</f>
        <v>14.369544959905273</v>
      </c>
      <c r="R50" s="39" t="s">
        <v>480</v>
      </c>
      <c r="S50" s="39">
        <f>AB45</f>
        <v>2.3548215702546353</v>
      </c>
      <c r="T50">
        <f>R63*W80</f>
        <v>0.11304776497261934</v>
      </c>
      <c r="V50" s="1" t="s">
        <v>581</v>
      </c>
      <c r="W50" s="1"/>
    </row>
    <row r="51" spans="1:27" x14ac:dyDescent="0.25">
      <c r="A51" s="19" t="s">
        <v>80</v>
      </c>
      <c r="B51">
        <v>97.278999999999996</v>
      </c>
      <c r="F51" t="s">
        <v>393</v>
      </c>
      <c r="O51" s="39" t="s">
        <v>481</v>
      </c>
      <c r="P51" s="39">
        <f>Y45</f>
        <v>3.8598782602693391</v>
      </c>
      <c r="R51" s="39" t="s">
        <v>481</v>
      </c>
      <c r="S51" s="39">
        <f>$W$80*R64</f>
        <v>0.33931794854021069</v>
      </c>
      <c r="V51" s="1" t="s">
        <v>543</v>
      </c>
      <c r="W51" s="1">
        <v>27.504032158265019</v>
      </c>
    </row>
    <row r="52" spans="1:27" x14ac:dyDescent="0.25">
      <c r="A52" s="18" t="s">
        <v>491</v>
      </c>
      <c r="B52" s="23">
        <v>154.75</v>
      </c>
      <c r="C52" s="7">
        <f>58.69/B52</f>
        <v>0.37925686591276253</v>
      </c>
      <c r="F52" s="4" t="s">
        <v>395</v>
      </c>
      <c r="G52" s="4" t="s">
        <v>396</v>
      </c>
      <c r="H52" s="4" t="s">
        <v>397</v>
      </c>
      <c r="J52" s="3" t="s">
        <v>393</v>
      </c>
      <c r="O52" s="39" t="s">
        <v>482</v>
      </c>
      <c r="P52" s="39">
        <f>R44</f>
        <v>6.080857293616952</v>
      </c>
      <c r="R52" s="39" t="s">
        <v>482</v>
      </c>
      <c r="S52" s="39">
        <f>$W$80*R65</f>
        <v>0.15281417414961171</v>
      </c>
      <c r="V52" s="1" t="s">
        <v>544</v>
      </c>
      <c r="W52" s="1">
        <v>25.097184062039389</v>
      </c>
    </row>
    <row r="53" spans="1:27" x14ac:dyDescent="0.25">
      <c r="A53" s="18" t="s">
        <v>492</v>
      </c>
      <c r="B53">
        <v>154.99600000000001</v>
      </c>
      <c r="C53" s="7">
        <f>58.93/B53</f>
        <v>0.38020336008671191</v>
      </c>
      <c r="F53" t="s">
        <v>399</v>
      </c>
      <c r="G53" t="s">
        <v>400</v>
      </c>
      <c r="H53">
        <v>89.81</v>
      </c>
      <c r="J53" s="5" t="s">
        <v>401</v>
      </c>
      <c r="K53">
        <f>H58+H67+H73</f>
        <v>52.429999999999993</v>
      </c>
      <c r="O53" s="39" t="s">
        <v>483</v>
      </c>
      <c r="P53" s="39">
        <f>Q44</f>
        <v>7.4179064631834111</v>
      </c>
      <c r="R53" s="39" t="s">
        <v>483</v>
      </c>
      <c r="S53" s="39">
        <f>$W$80*R66</f>
        <v>1.220573350143801</v>
      </c>
      <c r="V53" s="1" t="s">
        <v>545</v>
      </c>
      <c r="W53" s="1">
        <v>7.7641146887570471</v>
      </c>
    </row>
    <row r="54" spans="1:27" x14ac:dyDescent="0.25">
      <c r="A54" s="18" t="s">
        <v>493</v>
      </c>
      <c r="B54">
        <v>151.001</v>
      </c>
      <c r="C54" s="7">
        <f>54.94/B54</f>
        <v>0.36383865007516503</v>
      </c>
      <c r="F54" t="s">
        <v>399</v>
      </c>
      <c r="G54" t="s">
        <v>403</v>
      </c>
      <c r="H54">
        <v>4.99</v>
      </c>
      <c r="J54" s="6" t="s">
        <v>391</v>
      </c>
      <c r="K54">
        <f>H67+H73</f>
        <v>40.98</v>
      </c>
      <c r="L54" s="7">
        <f>K54/K53</f>
        <v>0.78161358001144388</v>
      </c>
      <c r="M54" s="37"/>
      <c r="N54" s="7"/>
      <c r="O54" s="39" t="s">
        <v>484</v>
      </c>
      <c r="P54" s="39">
        <f>S44</f>
        <v>0.77574179219552686</v>
      </c>
      <c r="R54" s="39" t="s">
        <v>484</v>
      </c>
      <c r="S54" s="39">
        <f>$W$80*R67</f>
        <v>0.14886241257270916</v>
      </c>
      <c r="V54" s="1" t="s">
        <v>546</v>
      </c>
      <c r="W54" s="1">
        <v>17.731471289716179</v>
      </c>
    </row>
    <row r="55" spans="1:27" x14ac:dyDescent="0.25">
      <c r="A55" s="18" t="s">
        <v>494</v>
      </c>
      <c r="B55">
        <v>73.891000000000005</v>
      </c>
      <c r="C55" s="7">
        <f>2*6.941/B55</f>
        <v>0.18787132397720965</v>
      </c>
      <c r="F55" t="s">
        <v>399</v>
      </c>
      <c r="G55" t="s">
        <v>405</v>
      </c>
      <c r="H55">
        <v>64.599999999999994</v>
      </c>
      <c r="J55" s="6"/>
      <c r="O55" s="39" t="s">
        <v>434</v>
      </c>
      <c r="P55" s="39">
        <f>Z45</f>
        <v>2.969109246290909</v>
      </c>
      <c r="R55" s="39" t="s">
        <v>434</v>
      </c>
      <c r="S55" s="39">
        <f>AA45</f>
        <v>0.64811128394537409</v>
      </c>
      <c r="V55" s="1" t="s">
        <v>547</v>
      </c>
      <c r="W55" s="1">
        <v>4.0730299774050263</v>
      </c>
    </row>
    <row r="56" spans="1:27" x14ac:dyDescent="0.25">
      <c r="B56">
        <f>B49*C5</f>
        <v>7.7660329503626553</v>
      </c>
      <c r="F56" t="s">
        <v>399</v>
      </c>
      <c r="G56" t="s">
        <v>407</v>
      </c>
      <c r="H56">
        <v>6.31</v>
      </c>
      <c r="J56" s="8" t="s">
        <v>408</v>
      </c>
      <c r="V56" s="1" t="s">
        <v>582</v>
      </c>
      <c r="W56" s="1">
        <v>3830.9553205394682</v>
      </c>
    </row>
    <row r="57" spans="1:27" x14ac:dyDescent="0.25">
      <c r="F57" t="s">
        <v>399</v>
      </c>
      <c r="G57" t="s">
        <v>49</v>
      </c>
      <c r="H57">
        <v>20.059999999999999</v>
      </c>
      <c r="J57" s="6" t="s">
        <v>389</v>
      </c>
      <c r="K57">
        <v>45.5</v>
      </c>
      <c r="T57">
        <f>S49+S51+S52+S53+S54+T50</f>
        <v>2.3691475473156194</v>
      </c>
      <c r="V57" s="1" t="s">
        <v>583</v>
      </c>
      <c r="W57" s="1"/>
      <c r="Z57" s="24" t="s">
        <v>371</v>
      </c>
      <c r="AA57" s="24" t="s">
        <v>373</v>
      </c>
    </row>
    <row r="58" spans="1:27" x14ac:dyDescent="0.25">
      <c r="F58" t="s">
        <v>399</v>
      </c>
      <c r="G58" t="s">
        <v>65</v>
      </c>
      <c r="H58">
        <v>11.45</v>
      </c>
      <c r="J58" s="6" t="s">
        <v>391</v>
      </c>
      <c r="K58">
        <f>28.7+9.3</f>
        <v>38</v>
      </c>
      <c r="L58" s="7">
        <f>K58/K57</f>
        <v>0.8351648351648352</v>
      </c>
      <c r="M58" s="37"/>
      <c r="N58" s="7"/>
      <c r="V58" s="1" t="s">
        <v>552</v>
      </c>
      <c r="W58" s="1">
        <v>326.04792096444788</v>
      </c>
      <c r="Z58" s="24" t="s">
        <v>14</v>
      </c>
      <c r="AA58" s="1">
        <v>0</v>
      </c>
    </row>
    <row r="59" spans="1:27" x14ac:dyDescent="0.25">
      <c r="A59" t="s">
        <v>584</v>
      </c>
      <c r="B59" s="29" t="s">
        <v>585</v>
      </c>
      <c r="C59">
        <f>(0.8*58.693)+(0.1*58.933)+(0.1*54.938)+(2*15.999)+(2*1.008)</f>
        <v>92.355500000000006</v>
      </c>
      <c r="F59" t="s">
        <v>399</v>
      </c>
      <c r="G59" t="s">
        <v>412</v>
      </c>
      <c r="H59">
        <v>3.96</v>
      </c>
      <c r="O59" t="s">
        <v>504</v>
      </c>
      <c r="P59">
        <f>W45</f>
        <v>8.7726190088490323</v>
      </c>
      <c r="V59" s="1" t="s">
        <v>553</v>
      </c>
      <c r="W59" s="1">
        <v>1366.615946786859</v>
      </c>
      <c r="Z59" s="24" t="s">
        <v>27</v>
      </c>
      <c r="AA59" s="1">
        <v>0.95</v>
      </c>
    </row>
    <row r="60" spans="1:27" x14ac:dyDescent="0.25">
      <c r="A60" s="1"/>
      <c r="B60" s="1" t="s">
        <v>586</v>
      </c>
      <c r="F60" t="s">
        <v>399</v>
      </c>
      <c r="G60" t="s">
        <v>414</v>
      </c>
      <c r="H60">
        <v>11.05</v>
      </c>
      <c r="V60" s="1" t="s">
        <v>554</v>
      </c>
      <c r="W60" s="1">
        <v>2476.2725622966109</v>
      </c>
      <c r="Z60" s="24" t="s">
        <v>35</v>
      </c>
      <c r="AA60" s="1">
        <v>0.93</v>
      </c>
    </row>
    <row r="61" spans="1:27" x14ac:dyDescent="0.25">
      <c r="A61" s="1" t="s">
        <v>587</v>
      </c>
      <c r="B61" s="1">
        <v>0</v>
      </c>
      <c r="F61" t="s">
        <v>399</v>
      </c>
      <c r="G61" t="s">
        <v>416</v>
      </c>
      <c r="H61">
        <v>11.05</v>
      </c>
      <c r="O61" s="1" t="s">
        <v>476</v>
      </c>
      <c r="P61" s="1" t="s">
        <v>563</v>
      </c>
      <c r="Q61" t="s">
        <v>588</v>
      </c>
      <c r="R61" t="s">
        <v>589</v>
      </c>
      <c r="V61" s="1" t="s">
        <v>555</v>
      </c>
      <c r="W61" s="1">
        <v>227.20734286646561</v>
      </c>
      <c r="Z61" s="24" t="s">
        <v>42</v>
      </c>
      <c r="AA61" s="1">
        <v>0.96</v>
      </c>
    </row>
    <row r="62" spans="1:27" x14ac:dyDescent="0.25">
      <c r="A62" s="1" t="s">
        <v>590</v>
      </c>
      <c r="B62" s="1">
        <v>0</v>
      </c>
      <c r="F62" t="s">
        <v>399</v>
      </c>
      <c r="G62" t="s">
        <v>418</v>
      </c>
      <c r="H62">
        <v>2.1800000000000002</v>
      </c>
      <c r="O62" s="1" t="s">
        <v>479</v>
      </c>
      <c r="P62" s="1">
        <v>41.336978874459533</v>
      </c>
      <c r="Q62">
        <f>AA65*P62</f>
        <v>37.616650775758174</v>
      </c>
      <c r="R62" s="7">
        <f t="shared" ref="R62:R67" si="13">Q62/$Q$69</f>
        <v>0.16652905277414851</v>
      </c>
      <c r="S62">
        <f t="shared" ref="S62:S67" si="14">$Q$78*R62</f>
        <v>107.67149594062215</v>
      </c>
      <c r="T62">
        <f t="shared" ref="T62:T67" si="15">S62/Q62</f>
        <v>2.8623360591690528</v>
      </c>
      <c r="V62" s="1" t="s">
        <v>557</v>
      </c>
      <c r="W62" s="1">
        <v>162.82609335062</v>
      </c>
      <c r="Z62" s="24" t="s">
        <v>50</v>
      </c>
      <c r="AA62" s="1">
        <v>0.84</v>
      </c>
    </row>
    <row r="63" spans="1:27" x14ac:dyDescent="0.25">
      <c r="A63" s="1" t="s">
        <v>469</v>
      </c>
      <c r="B63" s="1">
        <v>1.340421615651967</v>
      </c>
      <c r="C63">
        <f>C80*B63</f>
        <v>138.53528519523013</v>
      </c>
      <c r="F63" t="s">
        <v>399</v>
      </c>
      <c r="G63" t="s">
        <v>420</v>
      </c>
      <c r="H63">
        <v>0.48</v>
      </c>
      <c r="O63" s="1" t="s">
        <v>480</v>
      </c>
      <c r="P63" s="1">
        <v>11.58982922035457</v>
      </c>
      <c r="Q63">
        <f>0.93*P63</f>
        <v>10.778541174929751</v>
      </c>
      <c r="R63" s="7">
        <f t="shared" si="13"/>
        <v>4.771664183630478E-2</v>
      </c>
      <c r="S63">
        <f t="shared" si="14"/>
        <v>30.851807070239797</v>
      </c>
      <c r="T63">
        <f t="shared" si="15"/>
        <v>2.8623360591690528</v>
      </c>
      <c r="V63" s="1" t="s">
        <v>559</v>
      </c>
      <c r="W63" s="1">
        <v>2777.983381364571</v>
      </c>
      <c r="Z63" s="32" t="s">
        <v>59</v>
      </c>
      <c r="AA63" s="1">
        <v>0.84</v>
      </c>
    </row>
    <row r="64" spans="1:27" x14ac:dyDescent="0.25">
      <c r="A64" s="1" t="s">
        <v>468</v>
      </c>
      <c r="B64" s="1">
        <v>0.16781255752011201</v>
      </c>
      <c r="F64" t="s">
        <v>399</v>
      </c>
      <c r="G64" t="s">
        <v>422</v>
      </c>
      <c r="H64">
        <v>0.56000000000000005</v>
      </c>
      <c r="O64" s="1" t="s">
        <v>481</v>
      </c>
      <c r="P64" s="1">
        <v>33.700287372436321</v>
      </c>
      <c r="Q64">
        <f>AA61*P64</f>
        <v>32.352275877538865</v>
      </c>
      <c r="R64" s="7">
        <f t="shared" si="13"/>
        <v>0.14322364553641984</v>
      </c>
      <c r="S64">
        <f t="shared" si="14"/>
        <v>92.603085840464601</v>
      </c>
      <c r="T64">
        <f t="shared" si="15"/>
        <v>2.8623360591690528</v>
      </c>
      <c r="V64" s="1" t="s">
        <v>560</v>
      </c>
      <c r="W64" s="1">
        <v>32.376451046548411</v>
      </c>
      <c r="Z64" s="24" t="s">
        <v>68</v>
      </c>
      <c r="AA64" s="1">
        <v>0.84</v>
      </c>
    </row>
    <row r="65" spans="1:27" x14ac:dyDescent="0.25">
      <c r="A65" s="1" t="s">
        <v>471</v>
      </c>
      <c r="B65" s="1">
        <v>0.16349245877499799</v>
      </c>
      <c r="F65" t="s">
        <v>399</v>
      </c>
      <c r="G65" t="s">
        <v>424</v>
      </c>
      <c r="H65">
        <v>226.49</v>
      </c>
      <c r="O65" s="1" t="s">
        <v>482</v>
      </c>
      <c r="P65" s="1">
        <v>17.345321630654819</v>
      </c>
      <c r="Q65">
        <f>AA62*P65</f>
        <v>14.570070169750048</v>
      </c>
      <c r="R65" s="7">
        <f t="shared" si="13"/>
        <v>6.4501754786340335E-2</v>
      </c>
      <c r="S65">
        <f t="shared" si="14"/>
        <v>41.704437231498929</v>
      </c>
      <c r="T65">
        <f t="shared" si="15"/>
        <v>2.8623360591690532</v>
      </c>
      <c r="V65" s="1" t="s">
        <v>562</v>
      </c>
      <c r="W65" s="1">
        <v>44.462474001873467</v>
      </c>
      <c r="Z65" s="24" t="s">
        <v>75</v>
      </c>
      <c r="AA65" s="1">
        <v>0.91</v>
      </c>
    </row>
    <row r="66" spans="1:27" x14ac:dyDescent="0.25">
      <c r="A66" s="1" t="s">
        <v>411</v>
      </c>
      <c r="B66" s="1">
        <v>0.88953599999999999</v>
      </c>
      <c r="F66" t="s">
        <v>426</v>
      </c>
      <c r="G66" t="s">
        <v>49</v>
      </c>
      <c r="H66">
        <v>0.43</v>
      </c>
      <c r="O66" s="1" t="s">
        <v>483</v>
      </c>
      <c r="P66" s="1">
        <v>138.54236656949459</v>
      </c>
      <c r="Q66">
        <f>AA63*P66</f>
        <v>116.37558791837544</v>
      </c>
      <c r="R66" s="7">
        <f t="shared" si="13"/>
        <v>0.51519516018611033</v>
      </c>
      <c r="S66">
        <f t="shared" si="14"/>
        <v>333.10604170576443</v>
      </c>
      <c r="T66">
        <f t="shared" si="15"/>
        <v>2.8623360591690532</v>
      </c>
      <c r="V66" s="1" t="s">
        <v>564</v>
      </c>
      <c r="W66" s="1">
        <v>4379.1251089396292</v>
      </c>
      <c r="Z66" s="42" t="s">
        <v>504</v>
      </c>
      <c r="AA66" s="25">
        <v>0.9</v>
      </c>
    </row>
    <row r="67" spans="1:27" x14ac:dyDescent="0.25">
      <c r="A67" s="1" t="s">
        <v>591</v>
      </c>
      <c r="B67" s="1">
        <v>0.123529411764706</v>
      </c>
      <c r="F67" t="s">
        <v>426</v>
      </c>
      <c r="G67" t="s">
        <v>65</v>
      </c>
      <c r="H67">
        <v>11.42</v>
      </c>
      <c r="O67" s="1" t="s">
        <v>484</v>
      </c>
      <c r="P67" s="1">
        <v>16.89677308507337</v>
      </c>
      <c r="Q67">
        <f>AA64*P67</f>
        <v>14.193289391461631</v>
      </c>
      <c r="R67" s="7">
        <f t="shared" si="13"/>
        <v>6.2833744880676112E-2</v>
      </c>
      <c r="S67">
        <f t="shared" si="14"/>
        <v>40.625964023402211</v>
      </c>
      <c r="T67">
        <f t="shared" si="15"/>
        <v>2.8623360591690532</v>
      </c>
      <c r="V67" s="1" t="s">
        <v>566</v>
      </c>
      <c r="W67" s="1">
        <v>40.320069236319092</v>
      </c>
    </row>
    <row r="68" spans="1:27" x14ac:dyDescent="0.25">
      <c r="A68" s="1" t="s">
        <v>592</v>
      </c>
      <c r="B68" s="1">
        <v>0</v>
      </c>
      <c r="F68" t="s">
        <v>426</v>
      </c>
      <c r="G68" t="s">
        <v>420</v>
      </c>
      <c r="H68">
        <v>0.13</v>
      </c>
      <c r="O68" s="43" t="s">
        <v>504</v>
      </c>
      <c r="P68" s="43">
        <v>76.033808311023435</v>
      </c>
      <c r="Q68" s="44">
        <f>AA65*P68</f>
        <v>69.190765563031334</v>
      </c>
      <c r="V68" s="1" t="s">
        <v>567</v>
      </c>
      <c r="W68" s="1">
        <v>2004217.635051982</v>
      </c>
    </row>
    <row r="69" spans="1:27" x14ac:dyDescent="0.25">
      <c r="A69" s="1" t="s">
        <v>593</v>
      </c>
      <c r="B69" s="1">
        <v>0</v>
      </c>
      <c r="F69" t="s">
        <v>426</v>
      </c>
      <c r="G69" t="s">
        <v>430</v>
      </c>
      <c r="H69">
        <v>0.11</v>
      </c>
      <c r="O69" s="1" t="s">
        <v>487</v>
      </c>
      <c r="P69" s="1">
        <v>335.44536506349669</v>
      </c>
      <c r="Q69">
        <f>SUM(Q62:Q67)</f>
        <v>225.88641530781393</v>
      </c>
      <c r="V69" s="1" t="s">
        <v>569</v>
      </c>
      <c r="W69" s="1">
        <v>2007381.3570839381</v>
      </c>
    </row>
    <row r="70" spans="1:27" x14ac:dyDescent="0.25">
      <c r="A70" s="1" t="s">
        <v>594</v>
      </c>
      <c r="B70" s="1">
        <v>0</v>
      </c>
      <c r="F70" t="s">
        <v>426</v>
      </c>
      <c r="G70" t="s">
        <v>431</v>
      </c>
      <c r="H70">
        <v>1.1200000000000001</v>
      </c>
      <c r="U70" s="38" t="s">
        <v>577</v>
      </c>
      <c r="V70" s="39" t="s">
        <v>572</v>
      </c>
      <c r="W70" s="39">
        <v>2148886.664231854</v>
      </c>
    </row>
    <row r="71" spans="1:27" x14ac:dyDescent="0.25">
      <c r="A71" s="1" t="s">
        <v>595</v>
      </c>
      <c r="B71" s="1">
        <v>0</v>
      </c>
      <c r="F71" t="s">
        <v>426</v>
      </c>
      <c r="G71" t="s">
        <v>432</v>
      </c>
      <c r="H71">
        <v>13.2</v>
      </c>
      <c r="O71" s="1" t="s">
        <v>21</v>
      </c>
      <c r="P71" s="1">
        <f>P63</f>
        <v>11.58982922035457</v>
      </c>
      <c r="R71" s="39" t="s">
        <v>596</v>
      </c>
      <c r="V71" s="1" t="s">
        <v>597</v>
      </c>
      <c r="W71" s="1"/>
    </row>
    <row r="72" spans="1:27" x14ac:dyDescent="0.25">
      <c r="F72" t="s">
        <v>433</v>
      </c>
      <c r="G72" t="s">
        <v>49</v>
      </c>
      <c r="H72">
        <v>0.09</v>
      </c>
      <c r="O72" s="1" t="s">
        <v>31</v>
      </c>
      <c r="P72" s="1">
        <v>6.5947495657596882</v>
      </c>
      <c r="R72">
        <f>Q78/Q69</f>
        <v>2.8623360591690528</v>
      </c>
      <c r="V72" s="1" t="s">
        <v>552</v>
      </c>
      <c r="W72" s="1">
        <v>0</v>
      </c>
    </row>
    <row r="73" spans="1:27" x14ac:dyDescent="0.25">
      <c r="F73" t="s">
        <v>433</v>
      </c>
      <c r="G73" t="s">
        <v>65</v>
      </c>
      <c r="H73">
        <v>29.56</v>
      </c>
      <c r="O73" s="1" t="s">
        <v>39</v>
      </c>
      <c r="P73" s="1">
        <v>33.700287372436321</v>
      </c>
      <c r="V73" s="1" t="s">
        <v>553</v>
      </c>
      <c r="W73" s="1">
        <v>0</v>
      </c>
    </row>
    <row r="74" spans="1:27" x14ac:dyDescent="0.25">
      <c r="F74" t="s">
        <v>433</v>
      </c>
      <c r="G74" t="s">
        <v>434</v>
      </c>
      <c r="H74">
        <v>1.78</v>
      </c>
      <c r="O74" s="1" t="s">
        <v>55</v>
      </c>
      <c r="P74" s="1">
        <v>7.7660329503626562</v>
      </c>
      <c r="V74" s="1" t="s">
        <v>576</v>
      </c>
      <c r="W74" s="1">
        <v>0</v>
      </c>
    </row>
    <row r="75" spans="1:27" x14ac:dyDescent="0.25">
      <c r="A75" t="s">
        <v>392</v>
      </c>
      <c r="F75" t="s">
        <v>433</v>
      </c>
      <c r="G75" t="s">
        <v>430</v>
      </c>
      <c r="H75">
        <v>0.94</v>
      </c>
      <c r="O75" s="1" t="s">
        <v>63</v>
      </c>
      <c r="P75" s="1">
        <v>6.1476991098994764</v>
      </c>
      <c r="V75" s="1" t="s">
        <v>555</v>
      </c>
      <c r="W75" s="1">
        <v>0</v>
      </c>
    </row>
    <row r="76" spans="1:27" x14ac:dyDescent="0.25">
      <c r="B76" t="s">
        <v>394</v>
      </c>
      <c r="F76" t="s">
        <v>433</v>
      </c>
      <c r="G76" t="s">
        <v>435</v>
      </c>
      <c r="H76">
        <v>8.4700000000000006</v>
      </c>
      <c r="O76" s="1" t="s">
        <v>72</v>
      </c>
      <c r="P76" s="1">
        <v>52.543143741283608</v>
      </c>
      <c r="V76" s="1" t="s">
        <v>557</v>
      </c>
      <c r="W76" s="1">
        <v>0</v>
      </c>
    </row>
    <row r="77" spans="1:27" x14ac:dyDescent="0.25">
      <c r="A77" t="s">
        <v>398</v>
      </c>
      <c r="B77">
        <v>0</v>
      </c>
      <c r="F77" t="s">
        <v>433</v>
      </c>
      <c r="G77" t="s">
        <v>431</v>
      </c>
      <c r="H77">
        <v>4.22</v>
      </c>
      <c r="O77" s="1" t="s">
        <v>598</v>
      </c>
      <c r="P77" s="1">
        <f>SUM(P71:P76)</f>
        <v>118.34174196009633</v>
      </c>
      <c r="V77" s="1" t="s">
        <v>559</v>
      </c>
      <c r="W77" s="1">
        <v>0</v>
      </c>
    </row>
    <row r="78" spans="1:27" x14ac:dyDescent="0.25">
      <c r="A78" t="s">
        <v>402</v>
      </c>
      <c r="B78">
        <v>0</v>
      </c>
      <c r="F78" t="s">
        <v>433</v>
      </c>
      <c r="G78" t="s">
        <v>436</v>
      </c>
      <c r="H78">
        <v>45.06</v>
      </c>
      <c r="O78" s="1" t="s">
        <v>599</v>
      </c>
      <c r="P78" s="1">
        <f>C28</f>
        <v>272.90948279881729</v>
      </c>
      <c r="Q78" s="13">
        <f>P78*W80</f>
        <v>646.56283181199217</v>
      </c>
      <c r="R78" t="s">
        <v>600</v>
      </c>
      <c r="V78" s="1" t="s">
        <v>560</v>
      </c>
      <c r="W78" s="1">
        <v>0</v>
      </c>
    </row>
    <row r="79" spans="1:27" x14ac:dyDescent="0.25">
      <c r="A79" t="s">
        <v>404</v>
      </c>
      <c r="B79">
        <v>0</v>
      </c>
      <c r="F79" t="s">
        <v>488</v>
      </c>
      <c r="G79" t="s">
        <v>489</v>
      </c>
      <c r="H79">
        <v>284.75</v>
      </c>
      <c r="V79" s="1" t="s">
        <v>562</v>
      </c>
      <c r="W79" s="1">
        <v>0</v>
      </c>
    </row>
    <row r="80" spans="1:27" x14ac:dyDescent="0.25">
      <c r="A80" t="s">
        <v>406</v>
      </c>
      <c r="B80">
        <v>0.94942382220211996</v>
      </c>
      <c r="C80">
        <f>B80*C5</f>
        <v>103.35202266030903</v>
      </c>
      <c r="V80" s="39" t="s">
        <v>601</v>
      </c>
      <c r="W80" s="39">
        <f>W70/2000*2.205/1000</f>
        <v>2.3691475473156194</v>
      </c>
    </row>
    <row r="81" spans="1:18" x14ac:dyDescent="0.25">
      <c r="A81" t="s">
        <v>409</v>
      </c>
      <c r="B81">
        <v>0</v>
      </c>
    </row>
    <row r="82" spans="1:18" x14ac:dyDescent="0.25">
      <c r="A82" t="s">
        <v>410</v>
      </c>
      <c r="B82">
        <v>0</v>
      </c>
      <c r="O82" t="s">
        <v>602</v>
      </c>
    </row>
    <row r="83" spans="1:18" x14ac:dyDescent="0.25">
      <c r="A83" t="s">
        <v>411</v>
      </c>
      <c r="B83">
        <v>0</v>
      </c>
      <c r="O83" t="s">
        <v>603</v>
      </c>
    </row>
    <row r="84" spans="1:18" x14ac:dyDescent="0.25">
      <c r="A84" t="s">
        <v>413</v>
      </c>
      <c r="B84">
        <v>0.246199076881958</v>
      </c>
      <c r="O84" s="1"/>
      <c r="P84" s="1" t="s">
        <v>604</v>
      </c>
      <c r="Q84" s="1" t="s">
        <v>605</v>
      </c>
      <c r="R84" s="1" t="s">
        <v>606</v>
      </c>
    </row>
    <row r="85" spans="1:18" x14ac:dyDescent="0.25">
      <c r="A85" t="s">
        <v>415</v>
      </c>
      <c r="B85">
        <v>0</v>
      </c>
      <c r="O85" s="1" t="s">
        <v>434</v>
      </c>
      <c r="P85" s="36">
        <v>0.73599999999999999</v>
      </c>
      <c r="Q85" s="36">
        <v>0.26400000000000001</v>
      </c>
      <c r="R85" s="36">
        <v>0</v>
      </c>
    </row>
    <row r="86" spans="1:18" x14ac:dyDescent="0.25">
      <c r="A86" t="s">
        <v>417</v>
      </c>
      <c r="B86">
        <v>0</v>
      </c>
      <c r="O86" s="1" t="s">
        <v>607</v>
      </c>
      <c r="P86" s="36">
        <v>0.39019999999999999</v>
      </c>
      <c r="Q86" s="36">
        <v>0.2989</v>
      </c>
      <c r="R86" s="36">
        <v>0.31090000000000001</v>
      </c>
    </row>
    <row r="87" spans="1:18" x14ac:dyDescent="0.25">
      <c r="A87" t="s">
        <v>419</v>
      </c>
      <c r="B87">
        <v>0</v>
      </c>
      <c r="O87" s="1" t="s">
        <v>608</v>
      </c>
      <c r="P87" s="36">
        <v>0.20300000000000001</v>
      </c>
      <c r="Q87" s="36">
        <v>0.2319</v>
      </c>
      <c r="R87" s="36">
        <v>0.56509999999999994</v>
      </c>
    </row>
    <row r="88" spans="1:18" x14ac:dyDescent="0.25">
      <c r="A88" t="s">
        <v>421</v>
      </c>
      <c r="B88">
        <v>0</v>
      </c>
      <c r="O88" s="1" t="s">
        <v>609</v>
      </c>
      <c r="P88" s="36">
        <v>0.20300000000000001</v>
      </c>
      <c r="Q88" s="36">
        <v>0.2319</v>
      </c>
      <c r="R88" s="36">
        <v>0.56509999999999994</v>
      </c>
    </row>
    <row r="89" spans="1:18" x14ac:dyDescent="0.25">
      <c r="A89" t="s">
        <v>423</v>
      </c>
      <c r="B89">
        <v>0</v>
      </c>
      <c r="O89" s="1" t="s">
        <v>610</v>
      </c>
      <c r="P89" s="36">
        <v>0.26829999999999998</v>
      </c>
      <c r="Q89" s="36">
        <v>0.16200000000000001</v>
      </c>
      <c r="R89" s="36">
        <v>0.56969999999999998</v>
      </c>
    </row>
    <row r="90" spans="1:18" x14ac:dyDescent="0.25">
      <c r="A90" t="s">
        <v>425</v>
      </c>
      <c r="B90">
        <v>0</v>
      </c>
      <c r="O90" s="1" t="s">
        <v>611</v>
      </c>
      <c r="P90" s="36">
        <v>0.50419999999999998</v>
      </c>
      <c r="Q90" s="36">
        <v>0</v>
      </c>
      <c r="R90" s="36">
        <v>0.49580000000000002</v>
      </c>
    </row>
    <row r="91" spans="1:18" x14ac:dyDescent="0.25">
      <c r="A91" t="s">
        <v>427</v>
      </c>
      <c r="B91">
        <v>0</v>
      </c>
      <c r="O91" s="1" t="s">
        <v>612</v>
      </c>
      <c r="P91" s="36">
        <v>0.2</v>
      </c>
      <c r="Q91" s="36">
        <v>0.8</v>
      </c>
      <c r="R91" s="36">
        <v>0</v>
      </c>
    </row>
    <row r="92" spans="1:18" x14ac:dyDescent="0.25">
      <c r="A92" t="s">
        <v>428</v>
      </c>
      <c r="B92">
        <v>7.0000000000000001E-3</v>
      </c>
      <c r="O92" s="1" t="s">
        <v>613</v>
      </c>
      <c r="P92" s="36">
        <v>0</v>
      </c>
      <c r="Q92" s="36">
        <v>1</v>
      </c>
      <c r="R92" s="36">
        <v>0</v>
      </c>
    </row>
    <row r="93" spans="1:18" x14ac:dyDescent="0.25">
      <c r="A93" t="s">
        <v>429</v>
      </c>
      <c r="B93">
        <v>0</v>
      </c>
      <c r="O93" s="1" t="s">
        <v>41</v>
      </c>
      <c r="P93" s="36">
        <v>0.56000000000000005</v>
      </c>
      <c r="Q93" s="36">
        <v>0.43999999999999989</v>
      </c>
      <c r="R93" s="36">
        <v>0</v>
      </c>
    </row>
    <row r="94" spans="1:18" x14ac:dyDescent="0.25">
      <c r="O94" s="1" t="s">
        <v>614</v>
      </c>
      <c r="P94" s="36">
        <v>0.47899999999999998</v>
      </c>
      <c r="Q94" s="36">
        <v>0.52100000000000002</v>
      </c>
      <c r="R94" s="36">
        <v>0</v>
      </c>
    </row>
    <row r="96" spans="1:18" x14ac:dyDescent="0.25">
      <c r="O96" t="s">
        <v>615</v>
      </c>
    </row>
    <row r="97" spans="1:16" x14ac:dyDescent="0.25">
      <c r="A97" s="1"/>
      <c r="B97" s="1"/>
      <c r="C97" s="1"/>
      <c r="O97" s="1"/>
      <c r="P97" s="1" t="s">
        <v>616</v>
      </c>
    </row>
    <row r="98" spans="1:16" x14ac:dyDescent="0.25">
      <c r="A98" s="14" t="s">
        <v>22</v>
      </c>
      <c r="B98" s="14" t="s">
        <v>23</v>
      </c>
      <c r="C98" s="14" t="s">
        <v>24</v>
      </c>
      <c r="O98" s="1" t="s">
        <v>434</v>
      </c>
      <c r="P98" s="36">
        <v>0.96</v>
      </c>
    </row>
    <row r="99" spans="1:16" x14ac:dyDescent="0.25">
      <c r="A99" s="16" t="s">
        <v>32</v>
      </c>
      <c r="B99" s="16">
        <f>0.8*58.693/B105</f>
        <v>0.50840935298926426</v>
      </c>
      <c r="C99" s="17">
        <v>0.50800000000000001</v>
      </c>
      <c r="O99" s="1" t="s">
        <v>607</v>
      </c>
      <c r="P99" s="36">
        <v>0.91</v>
      </c>
    </row>
    <row r="100" spans="1:16" x14ac:dyDescent="0.25">
      <c r="A100" s="16" t="s">
        <v>40</v>
      </c>
      <c r="B100" s="16">
        <f>0.1*58.933/B105</f>
        <v>6.3811034535030398E-2</v>
      </c>
      <c r="C100" s="17">
        <v>6.4000000000000001E-2</v>
      </c>
      <c r="O100" s="1" t="s">
        <v>608</v>
      </c>
      <c r="P100" s="36">
        <v>0.91</v>
      </c>
    </row>
    <row r="101" spans="1:16" x14ac:dyDescent="0.25">
      <c r="A101" s="16" t="s">
        <v>48</v>
      </c>
      <c r="B101" s="16">
        <f>0.1*54.938/B105</f>
        <v>5.9485358208227986E-2</v>
      </c>
      <c r="C101" s="17">
        <v>0.06</v>
      </c>
      <c r="O101" s="1" t="s">
        <v>609</v>
      </c>
      <c r="P101" s="36">
        <v>0.91</v>
      </c>
    </row>
    <row r="102" spans="1:16" x14ac:dyDescent="0.25">
      <c r="A102" s="16" t="s">
        <v>56</v>
      </c>
      <c r="B102" s="16">
        <f>2*15.999/B105</f>
        <v>0.34646555971219906</v>
      </c>
      <c r="C102" s="17">
        <v>0.34699999999999998</v>
      </c>
      <c r="O102" s="1" t="s">
        <v>610</v>
      </c>
      <c r="P102" s="36">
        <v>0.91</v>
      </c>
    </row>
    <row r="103" spans="1:16" x14ac:dyDescent="0.25">
      <c r="A103" s="16" t="s">
        <v>383</v>
      </c>
      <c r="B103" s="16">
        <f>2*1.008/B105</f>
        <v>2.1828694555278243E-2</v>
      </c>
      <c r="C103" s="17">
        <v>2.1999999999999999E-2</v>
      </c>
      <c r="O103" s="1" t="s">
        <v>611</v>
      </c>
      <c r="P103" s="36">
        <v>0.91</v>
      </c>
    </row>
    <row r="104" spans="1:16" x14ac:dyDescent="0.25">
      <c r="O104" s="1" t="s">
        <v>612</v>
      </c>
      <c r="P104" s="36">
        <v>0.91</v>
      </c>
    </row>
    <row r="105" spans="1:16" x14ac:dyDescent="0.25">
      <c r="A105" s="19" t="s">
        <v>384</v>
      </c>
      <c r="B105">
        <f>(0.8*58.693)+(0.1*58.933)+(0.1*54.938)+(2*15.999)+(2*1.008)</f>
        <v>92.355500000000006</v>
      </c>
      <c r="O105" s="1" t="s">
        <v>613</v>
      </c>
      <c r="P105" s="36">
        <v>0.99</v>
      </c>
    </row>
    <row r="106" spans="1:16" x14ac:dyDescent="0.25">
      <c r="O106" s="1" t="s">
        <v>41</v>
      </c>
      <c r="P106" s="36">
        <v>0.8</v>
      </c>
    </row>
    <row r="107" spans="1:16" x14ac:dyDescent="0.25">
      <c r="O107" s="1" t="s">
        <v>614</v>
      </c>
      <c r="P107" s="36">
        <v>0.7</v>
      </c>
    </row>
    <row r="114" spans="16:17" x14ac:dyDescent="0.25">
      <c r="P114" s="1" t="s">
        <v>617</v>
      </c>
      <c r="Q114" s="1"/>
    </row>
    <row r="115" spans="16:17" x14ac:dyDescent="0.25">
      <c r="P115" s="1" t="s">
        <v>618</v>
      </c>
      <c r="Q115" s="1"/>
    </row>
    <row r="116" spans="16:17" x14ac:dyDescent="0.25">
      <c r="P116" s="1" t="s">
        <v>619</v>
      </c>
      <c r="Q116" s="1" t="s">
        <v>620</v>
      </c>
    </row>
    <row r="117" spans="16:17" x14ac:dyDescent="0.25">
      <c r="P117" s="1" t="s">
        <v>621</v>
      </c>
      <c r="Q117" s="1">
        <v>100</v>
      </c>
    </row>
    <row r="118" spans="16:17" x14ac:dyDescent="0.25">
      <c r="P118" s="1" t="s">
        <v>622</v>
      </c>
      <c r="Q118" s="1">
        <v>1</v>
      </c>
    </row>
    <row r="119" spans="16:17" x14ac:dyDescent="0.25">
      <c r="P119" s="1" t="s">
        <v>623</v>
      </c>
      <c r="Q119" s="1">
        <v>29.8</v>
      </c>
    </row>
    <row r="120" spans="16:17" x14ac:dyDescent="0.25">
      <c r="P120" s="1" t="s">
        <v>624</v>
      </c>
      <c r="Q120" s="1">
        <v>273</v>
      </c>
    </row>
    <row r="121" spans="16:17" x14ac:dyDescent="0.25">
      <c r="P121" s="1"/>
      <c r="Q121" s="1"/>
    </row>
    <row r="122" spans="16:17" x14ac:dyDescent="0.25">
      <c r="P122" s="1" t="s">
        <v>625</v>
      </c>
      <c r="Q122" s="1"/>
    </row>
    <row r="123" spans="16:17" x14ac:dyDescent="0.25">
      <c r="P123" s="1" t="s">
        <v>626</v>
      </c>
      <c r="Q123" s="1">
        <v>0</v>
      </c>
    </row>
    <row r="124" spans="16:17" x14ac:dyDescent="0.25">
      <c r="P124" s="1" t="s">
        <v>627</v>
      </c>
      <c r="Q124" s="1">
        <v>0</v>
      </c>
    </row>
    <row r="125" spans="16:17" x14ac:dyDescent="0.25">
      <c r="P125" s="1" t="s">
        <v>628</v>
      </c>
      <c r="Q125" s="1">
        <v>0</v>
      </c>
    </row>
    <row r="126" spans="16:17" x14ac:dyDescent="0.25">
      <c r="P126" s="1" t="s">
        <v>629</v>
      </c>
      <c r="Q126" s="1">
        <v>0</v>
      </c>
    </row>
    <row r="127" spans="16:17" x14ac:dyDescent="0.25">
      <c r="P127" s="1" t="s">
        <v>630</v>
      </c>
      <c r="Q127" s="1">
        <v>0</v>
      </c>
    </row>
    <row r="130" spans="15:28" x14ac:dyDescent="0.25">
      <c r="P130" t="s">
        <v>631</v>
      </c>
    </row>
    <row r="134" spans="15:28" x14ac:dyDescent="0.25">
      <c r="O134" s="59"/>
      <c r="P134" s="59" t="s">
        <v>632</v>
      </c>
      <c r="Q134" s="59" t="s">
        <v>633</v>
      </c>
      <c r="R134" s="59" t="s">
        <v>634</v>
      </c>
      <c r="S134" s="59" t="s">
        <v>635</v>
      </c>
      <c r="T134" s="57" t="s">
        <v>475</v>
      </c>
      <c r="AB134" s="28"/>
    </row>
    <row r="135" spans="15:28" x14ac:dyDescent="0.25">
      <c r="O135" s="59" t="s">
        <v>636</v>
      </c>
      <c r="P135" s="60">
        <f t="shared" ref="P135:P141" si="16">Q3/P3</f>
        <v>0.1</v>
      </c>
      <c r="Q135" s="60">
        <f>S3/R3</f>
        <v>0.90000000000000013</v>
      </c>
      <c r="R135" s="61">
        <v>11.82837903797456</v>
      </c>
      <c r="S135" s="89">
        <v>2.3691475473156189</v>
      </c>
      <c r="T135" s="85" t="s">
        <v>637</v>
      </c>
      <c r="AB135" s="28"/>
    </row>
    <row r="136" spans="15:28" x14ac:dyDescent="0.25">
      <c r="O136" s="59" t="s">
        <v>49</v>
      </c>
      <c r="P136" s="60">
        <f t="shared" si="16"/>
        <v>0.5</v>
      </c>
      <c r="Q136" s="60">
        <f>S5/R5</f>
        <v>0.9</v>
      </c>
      <c r="R136" s="61">
        <v>3.85987826026934</v>
      </c>
      <c r="S136" s="83"/>
      <c r="T136" s="83"/>
      <c r="AB136" s="28"/>
    </row>
    <row r="137" spans="15:28" x14ac:dyDescent="0.25">
      <c r="O137" s="59" t="s">
        <v>638</v>
      </c>
      <c r="P137" s="60">
        <f t="shared" si="16"/>
        <v>0.32</v>
      </c>
      <c r="Q137" s="60">
        <f>S6/R6</f>
        <v>0.9</v>
      </c>
      <c r="R137" s="61">
        <v>6.080857293616952</v>
      </c>
      <c r="S137" s="83"/>
      <c r="T137" s="83"/>
      <c r="AB137" s="28"/>
    </row>
    <row r="138" spans="15:28" x14ac:dyDescent="0.25">
      <c r="O138" s="59" t="s">
        <v>639</v>
      </c>
      <c r="P138" s="60">
        <f t="shared" si="16"/>
        <v>0.1</v>
      </c>
      <c r="Q138" s="60">
        <f>S7/R7</f>
        <v>0.9</v>
      </c>
      <c r="R138" s="61">
        <v>7.4179064631834111</v>
      </c>
      <c r="S138" s="83"/>
      <c r="T138" s="83"/>
      <c r="AB138" s="28"/>
    </row>
    <row r="139" spans="15:28" x14ac:dyDescent="0.25">
      <c r="O139" s="59" t="s">
        <v>640</v>
      </c>
      <c r="P139" s="60">
        <f t="shared" si="16"/>
        <v>0.1</v>
      </c>
      <c r="Q139" s="60">
        <f>S8/R8</f>
        <v>0.9</v>
      </c>
      <c r="R139" s="61">
        <v>0.77574179219552686</v>
      </c>
      <c r="S139" s="84"/>
      <c r="T139" s="83"/>
      <c r="AB139" s="28"/>
    </row>
    <row r="140" spans="15:28" x14ac:dyDescent="0.25">
      <c r="O140" s="59" t="s">
        <v>434</v>
      </c>
      <c r="P140" s="60">
        <f t="shared" si="16"/>
        <v>0.1</v>
      </c>
      <c r="Q140" s="60">
        <f>S9/R9</f>
        <v>0.9</v>
      </c>
      <c r="R140" s="61">
        <v>2.9691092462909099</v>
      </c>
      <c r="S140" s="61">
        <f>S55</f>
        <v>0.64811128394537409</v>
      </c>
      <c r="T140" s="84"/>
      <c r="AB140" s="28"/>
    </row>
    <row r="141" spans="15:28" x14ac:dyDescent="0.25">
      <c r="O141" s="59" t="s">
        <v>65</v>
      </c>
      <c r="P141" s="60">
        <f t="shared" si="16"/>
        <v>0.26</v>
      </c>
      <c r="Q141" s="60">
        <f>S4/R4</f>
        <v>0.9</v>
      </c>
      <c r="R141" s="61">
        <v>14.369544959905269</v>
      </c>
      <c r="S141" s="61">
        <f>S50</f>
        <v>2.3548215702546353</v>
      </c>
      <c r="T141" s="1"/>
      <c r="AB141" s="28"/>
    </row>
    <row r="142" spans="15:28" x14ac:dyDescent="0.25">
      <c r="T142" s="1"/>
    </row>
  </sheetData>
  <mergeCells count="3">
    <mergeCell ref="A28:B28"/>
    <mergeCell ref="S135:S139"/>
    <mergeCell ref="T135:T140"/>
  </mergeCells>
  <hyperlinks>
    <hyperlink ref="Q12" r:id="rId1" xr:uid="{E15FC925-95F5-4769-9BE6-807F148A1A08}"/>
  </hyperlinks>
  <pageMargins left="0.7" right="0.7" top="0.75" bottom="0.75" header="0.3" footer="0.3"/>
  <pageSetup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K142"/>
  <sheetViews>
    <sheetView topLeftCell="W50" zoomScaleNormal="100" workbookViewId="0">
      <selection activeCell="Z70" sqref="Z70"/>
    </sheetView>
  </sheetViews>
  <sheetFormatPr defaultRowHeight="15" x14ac:dyDescent="0.25"/>
  <cols>
    <col min="1" max="1" width="46.28515625" bestFit="1" customWidth="1"/>
    <col min="2" max="2" width="57.140625" bestFit="1" customWidth="1"/>
    <col min="3" max="3" width="32.7109375" bestFit="1" customWidth="1"/>
    <col min="5" max="5" width="19.5703125" bestFit="1" customWidth="1"/>
    <col min="6" max="6" width="33.140625" bestFit="1" customWidth="1"/>
    <col min="7" max="7" width="44.140625" bestFit="1" customWidth="1"/>
    <col min="8" max="8" width="13.140625" bestFit="1" customWidth="1"/>
    <col min="9" max="9" width="14.28515625" bestFit="1" customWidth="1"/>
    <col min="10" max="10" width="44.140625" bestFit="1" customWidth="1"/>
    <col min="11" max="12" width="9.42578125" bestFit="1" customWidth="1"/>
    <col min="13" max="13" width="9.42578125" style="28" customWidth="1"/>
    <col min="14" max="14" width="9.42578125" customWidth="1"/>
    <col min="15" max="15" width="12.42578125" customWidth="1"/>
    <col min="16" max="16" width="25.85546875" bestFit="1" customWidth="1"/>
    <col min="17" max="17" width="20.85546875" bestFit="1" customWidth="1"/>
    <col min="18" max="18" width="21.28515625" bestFit="1" customWidth="1"/>
    <col min="19" max="19" width="29.140625" bestFit="1" customWidth="1"/>
    <col min="20" max="21" width="13.7109375" bestFit="1" customWidth="1"/>
    <col min="22" max="22" width="41.42578125" bestFit="1" customWidth="1"/>
    <col min="23" max="23" width="33" bestFit="1" customWidth="1"/>
    <col min="24" max="24" width="39.5703125" bestFit="1" customWidth="1"/>
    <col min="25" max="25" width="12.28515625" bestFit="1" customWidth="1"/>
    <col min="26" max="26" width="32.28515625" bestFit="1" customWidth="1"/>
    <col min="27" max="27" width="15.28515625" bestFit="1" customWidth="1"/>
    <col min="28" max="28" width="39.85546875" bestFit="1" customWidth="1"/>
    <col min="30" max="30" width="9.140625" style="28" customWidth="1"/>
    <col min="33" max="33" width="11" customWidth="1"/>
    <col min="34" max="34" width="11.28515625" bestFit="1" customWidth="1"/>
  </cols>
  <sheetData>
    <row r="2" spans="1:37" x14ac:dyDescent="0.25">
      <c r="A2" t="s">
        <v>437</v>
      </c>
      <c r="O2" s="1"/>
      <c r="P2" s="1" t="s">
        <v>525</v>
      </c>
      <c r="Q2" s="1" t="s">
        <v>526</v>
      </c>
      <c r="R2" s="1" t="s">
        <v>527</v>
      </c>
      <c r="S2" s="1" t="s">
        <v>528</v>
      </c>
      <c r="T2" s="1" t="s">
        <v>529</v>
      </c>
      <c r="U2" s="1" t="s">
        <v>530</v>
      </c>
    </row>
    <row r="3" spans="1:37" x14ac:dyDescent="0.25">
      <c r="A3" s="1"/>
      <c r="B3" s="1" t="s">
        <v>8</v>
      </c>
      <c r="C3" s="2" t="s">
        <v>8</v>
      </c>
      <c r="F3" t="s">
        <v>2</v>
      </c>
      <c r="O3" s="31" t="str">
        <f>A32</f>
        <v>LiCO3</v>
      </c>
      <c r="P3" s="49">
        <f>B32</f>
        <v>41.336978874459518</v>
      </c>
      <c r="Q3" s="1">
        <f>0.1*P3</f>
        <v>4.133697887445952</v>
      </c>
      <c r="R3" s="1">
        <f>B32</f>
        <v>41.336978874459518</v>
      </c>
      <c r="S3" s="1">
        <f>P3*0.9</f>
        <v>37.203280987013571</v>
      </c>
      <c r="T3" s="1">
        <f t="shared" ref="T3:T9" si="0">P3*P49</f>
        <v>488.94945441185428</v>
      </c>
      <c r="U3" s="1">
        <f>S62</f>
        <v>107.67149594062215</v>
      </c>
      <c r="AE3" t="s">
        <v>479</v>
      </c>
      <c r="AF3">
        <f t="shared" ref="AF3:AF9" si="1">Q3/P3</f>
        <v>0.1</v>
      </c>
      <c r="AG3">
        <f t="shared" ref="AG3:AG9" si="2">S3/R3</f>
        <v>0.90000000000000013</v>
      </c>
      <c r="AH3">
        <f t="shared" ref="AH3:AH9" si="3">1-U3/T3</f>
        <v>0.7797901296972759</v>
      </c>
      <c r="AI3">
        <f t="shared" ref="AI3:AI9" si="4">AF3*AG3*AH3</f>
        <v>7.0181111672754856E-2</v>
      </c>
      <c r="AJ3">
        <f t="shared" ref="AJ3:AJ9" si="5">R3/SUM($R$3:$R$9)</f>
        <v>0.10316753500628142</v>
      </c>
      <c r="AK3">
        <f t="shared" ref="AK3:AK9" si="6">AI3*AJ3</f>
        <v>7.2404122952786825E-3</v>
      </c>
    </row>
    <row r="4" spans="1:37" x14ac:dyDescent="0.25">
      <c r="A4" s="1" t="s">
        <v>18</v>
      </c>
      <c r="B4" s="1" t="s">
        <v>445</v>
      </c>
      <c r="C4" s="2" t="s">
        <v>20</v>
      </c>
      <c r="E4" s="15" t="s">
        <v>21</v>
      </c>
      <c r="F4" s="15">
        <f>C10</f>
        <v>53.070283495475152</v>
      </c>
      <c r="H4" s="14" t="s">
        <v>22</v>
      </c>
      <c r="I4" s="26" t="s">
        <v>23</v>
      </c>
      <c r="J4" s="26" t="s">
        <v>24</v>
      </c>
      <c r="O4" s="1" t="str">
        <f>A33</f>
        <v>Al</v>
      </c>
      <c r="P4" s="49">
        <f>F4</f>
        <v>53.070283495475152</v>
      </c>
      <c r="Q4" s="1">
        <f>0.5*P4</f>
        <v>26.535141747737576</v>
      </c>
      <c r="R4" s="1">
        <f>F4</f>
        <v>53.070283495475152</v>
      </c>
      <c r="S4" s="1">
        <f t="shared" ref="S3:S9" si="7">P4*0.9</f>
        <v>47.763255145927637</v>
      </c>
      <c r="T4" s="1">
        <f t="shared" si="0"/>
        <v>762.59582472314901</v>
      </c>
      <c r="U4" s="1">
        <f>S50*S4*G45/H47+S63</f>
        <v>118.76296869415334</v>
      </c>
      <c r="W4" s="31" t="str">
        <f>A38</f>
        <v>graphite</v>
      </c>
      <c r="X4" s="1">
        <f>B38</f>
        <v>76.033808311023435</v>
      </c>
      <c r="Y4" s="1">
        <f>0.26*X4</f>
        <v>19.768790160866093</v>
      </c>
      <c r="Z4" s="1">
        <f>B38</f>
        <v>76.033808311023435</v>
      </c>
      <c r="AA4" s="1">
        <f>X4*0.9</f>
        <v>68.430427479921093</v>
      </c>
      <c r="AB4" s="1">
        <f>X4*P59/1000</f>
        <v>0.66701563210446768</v>
      </c>
      <c r="AC4" s="1"/>
      <c r="AE4" t="s">
        <v>480</v>
      </c>
      <c r="AF4">
        <f t="shared" si="1"/>
        <v>0.5</v>
      </c>
      <c r="AG4">
        <f t="shared" si="2"/>
        <v>0.9</v>
      </c>
      <c r="AH4">
        <f t="shared" si="3"/>
        <v>0.84426485846907329</v>
      </c>
      <c r="AI4">
        <f t="shared" si="4"/>
        <v>0.37991918631108301</v>
      </c>
      <c r="AJ4">
        <f t="shared" si="5"/>
        <v>0.13245114856943691</v>
      </c>
      <c r="AK4">
        <f t="shared" si="6"/>
        <v>5.0320732590468834E-2</v>
      </c>
    </row>
    <row r="5" spans="1:37" x14ac:dyDescent="0.25">
      <c r="A5" s="1" t="s">
        <v>30</v>
      </c>
      <c r="B5" s="1">
        <v>239.9901789948953</v>
      </c>
      <c r="C5" s="1">
        <f t="shared" ref="C5:C24" si="8">B5*0.453592</f>
        <v>108.85762527065255</v>
      </c>
      <c r="E5" s="15" t="s">
        <v>31</v>
      </c>
      <c r="F5" s="15">
        <f>C5*I6</f>
        <v>6.5947495657596873</v>
      </c>
      <c r="H5" s="16" t="s">
        <v>32</v>
      </c>
      <c r="I5" s="16">
        <f>0.8*58.693/I11</f>
        <v>0.482677659104226</v>
      </c>
      <c r="J5" s="20">
        <f>I5</f>
        <v>0.482677659104226</v>
      </c>
      <c r="O5" s="31" t="str">
        <f>A34</f>
        <v>Cu</v>
      </c>
      <c r="P5" s="49">
        <f>B34</f>
        <v>33.700287372436321</v>
      </c>
      <c r="Q5" s="50">
        <f>0.32*P5</f>
        <v>10.784091959179623</v>
      </c>
      <c r="R5" s="1">
        <f>B34</f>
        <v>33.700287372436321</v>
      </c>
      <c r="S5" s="1">
        <f t="shared" si="7"/>
        <v>30.330258635192688</v>
      </c>
      <c r="T5" s="1">
        <f t="shared" si="0"/>
        <v>130.07900659369628</v>
      </c>
      <c r="U5" s="1">
        <f>S64</f>
        <v>92.603085840464601</v>
      </c>
      <c r="AE5" t="s">
        <v>481</v>
      </c>
      <c r="AF5">
        <f t="shared" si="1"/>
        <v>0.32</v>
      </c>
      <c r="AG5">
        <f t="shared" si="2"/>
        <v>0.9</v>
      </c>
      <c r="AH5">
        <f t="shared" si="3"/>
        <v>0.28810122197725785</v>
      </c>
      <c r="AI5">
        <f t="shared" si="4"/>
        <v>8.2973151929450276E-2</v>
      </c>
      <c r="AJ5">
        <f t="shared" si="5"/>
        <v>8.4108119942111439E-2</v>
      </c>
      <c r="AK5">
        <f t="shared" si="6"/>
        <v>6.9787158144572394E-3</v>
      </c>
    </row>
    <row r="6" spans="1:37" x14ac:dyDescent="0.25">
      <c r="A6" s="1" t="s">
        <v>38</v>
      </c>
      <c r="B6" s="1">
        <v>167.62599056205451</v>
      </c>
      <c r="C6" s="1">
        <f t="shared" si="8"/>
        <v>76.033808311023435</v>
      </c>
      <c r="E6" s="15" t="s">
        <v>39</v>
      </c>
      <c r="F6" s="15">
        <f>C9</f>
        <v>33.700287372436321</v>
      </c>
      <c r="H6" s="16" t="s">
        <v>40</v>
      </c>
      <c r="I6" s="16">
        <f>0.1*58.933/I11</f>
        <v>6.0581420450456933E-2</v>
      </c>
      <c r="J6" s="20">
        <f>I6</f>
        <v>6.0581420450456933E-2</v>
      </c>
      <c r="O6" s="31" t="str">
        <f>A35</f>
        <v>CoSO4</v>
      </c>
      <c r="P6" s="49">
        <f>B35</f>
        <v>17.345321630654819</v>
      </c>
      <c r="Q6" s="1">
        <f>0.1*P6</f>
        <v>1.734532163065482</v>
      </c>
      <c r="R6" s="1">
        <f>B35</f>
        <v>17.345321630654819</v>
      </c>
      <c r="S6" s="1">
        <f t="shared" si="7"/>
        <v>15.610789467589338</v>
      </c>
      <c r="T6" s="1">
        <f t="shared" si="0"/>
        <v>105.47442554789924</v>
      </c>
      <c r="U6" s="1">
        <f>S65</f>
        <v>41.704437231498929</v>
      </c>
      <c r="AE6" t="s">
        <v>482</v>
      </c>
      <c r="AF6">
        <f t="shared" si="1"/>
        <v>0.1</v>
      </c>
      <c r="AG6">
        <f t="shared" si="2"/>
        <v>0.9</v>
      </c>
      <c r="AH6">
        <f t="shared" si="3"/>
        <v>0.60460142812003626</v>
      </c>
      <c r="AI6">
        <f t="shared" si="4"/>
        <v>5.4414128530803269E-2</v>
      </c>
      <c r="AJ6">
        <f t="shared" si="5"/>
        <v>4.3289909549520479E-2</v>
      </c>
      <c r="AK6">
        <f t="shared" si="6"/>
        <v>2.355582702314455E-3</v>
      </c>
    </row>
    <row r="7" spans="1:37" x14ac:dyDescent="0.25">
      <c r="A7" s="1" t="s">
        <v>46</v>
      </c>
      <c r="B7" s="1">
        <v>0</v>
      </c>
      <c r="C7" s="1">
        <f t="shared" si="8"/>
        <v>0</v>
      </c>
      <c r="E7" s="15" t="s">
        <v>47</v>
      </c>
      <c r="F7" s="15">
        <f>C6</f>
        <v>76.033808311023435</v>
      </c>
      <c r="H7" s="16" t="s">
        <v>48</v>
      </c>
      <c r="I7" s="16">
        <f>0.1*54.938/I11</f>
        <v>5.6474675932112792E-2</v>
      </c>
      <c r="J7" s="20">
        <f>I7</f>
        <v>5.6474675932112792E-2</v>
      </c>
      <c r="O7" s="31" t="str">
        <f>A36</f>
        <v>NiSO4</v>
      </c>
      <c r="P7" s="49">
        <f>B36</f>
        <v>138.54236656949459</v>
      </c>
      <c r="Q7" s="1">
        <f>0.1*P7</f>
        <v>13.85423665694946</v>
      </c>
      <c r="R7" s="1">
        <f>B36</f>
        <v>138.54236656949459</v>
      </c>
      <c r="S7" s="1">
        <f t="shared" si="7"/>
        <v>124.68812991254514</v>
      </c>
      <c r="T7" s="1">
        <f t="shared" si="0"/>
        <v>1027.6943164005793</v>
      </c>
      <c r="U7" s="1">
        <f>S66</f>
        <v>333.10604170576443</v>
      </c>
      <c r="AE7" t="s">
        <v>483</v>
      </c>
      <c r="AF7">
        <f t="shared" si="1"/>
        <v>0.1</v>
      </c>
      <c r="AG7">
        <f t="shared" si="2"/>
        <v>0.9</v>
      </c>
      <c r="AH7">
        <f t="shared" si="3"/>
        <v>0.67587050313517072</v>
      </c>
      <c r="AI7">
        <f t="shared" si="4"/>
        <v>6.0828345282165373E-2</v>
      </c>
      <c r="AJ7">
        <f t="shared" si="5"/>
        <v>0.3457696919825588</v>
      </c>
      <c r="AK7">
        <f t="shared" si="6"/>
        <v>2.1032598212023055E-2</v>
      </c>
    </row>
    <row r="8" spans="1:37" x14ac:dyDescent="0.25">
      <c r="A8" s="1" t="s">
        <v>54</v>
      </c>
      <c r="B8" s="1">
        <v>8.4054531290482668</v>
      </c>
      <c r="C8" s="1">
        <f t="shared" si="8"/>
        <v>3.8126462957112612</v>
      </c>
      <c r="E8" s="15" t="s">
        <v>55</v>
      </c>
      <c r="F8" s="15">
        <f>C5*I9</f>
        <v>7.7660329503626553</v>
      </c>
      <c r="H8" s="16" t="s">
        <v>56</v>
      </c>
      <c r="I8" s="16">
        <f>2*15.999/I11</f>
        <v>0.32893019048304362</v>
      </c>
      <c r="J8" s="20">
        <f>I8</f>
        <v>0.32893019048304362</v>
      </c>
      <c r="O8" s="31" t="str">
        <f>A37</f>
        <v>MnSO4</v>
      </c>
      <c r="P8" s="49">
        <f>B37</f>
        <v>16.896773085073367</v>
      </c>
      <c r="Q8" s="1">
        <f>0.1*P8</f>
        <v>1.6896773085073367</v>
      </c>
      <c r="R8" s="1">
        <f>B37</f>
        <v>16.896773085073367</v>
      </c>
      <c r="S8" s="1">
        <f t="shared" si="7"/>
        <v>15.20709577656603</v>
      </c>
      <c r="T8" s="1">
        <f t="shared" si="0"/>
        <v>13.107533035335955</v>
      </c>
      <c r="U8" s="1">
        <f>S67</f>
        <v>40.625964023402211</v>
      </c>
      <c r="AE8" t="s">
        <v>484</v>
      </c>
      <c r="AF8">
        <f t="shared" si="1"/>
        <v>0.1</v>
      </c>
      <c r="AG8">
        <f t="shared" si="2"/>
        <v>0.9</v>
      </c>
      <c r="AH8">
        <f t="shared" si="3"/>
        <v>-2.0994363251941208</v>
      </c>
      <c r="AI8">
        <f t="shared" si="4"/>
        <v>-0.18894926926747091</v>
      </c>
      <c r="AJ8">
        <f t="shared" si="5"/>
        <v>4.2170436161810404E-2</v>
      </c>
      <c r="AK8">
        <f t="shared" si="6"/>
        <v>-7.9680730974646067E-3</v>
      </c>
    </row>
    <row r="9" spans="1:37" x14ac:dyDescent="0.25">
      <c r="A9" s="1" t="s">
        <v>62</v>
      </c>
      <c r="B9" s="1">
        <v>74.296476508484105</v>
      </c>
      <c r="C9" s="1">
        <f t="shared" si="8"/>
        <v>33.700287372436321</v>
      </c>
      <c r="E9" s="15" t="s">
        <v>63</v>
      </c>
      <c r="F9" s="15">
        <f>C5*I7</f>
        <v>6.1476991098994747</v>
      </c>
      <c r="H9" s="16" t="s">
        <v>64</v>
      </c>
      <c r="I9" s="16">
        <f>6.94/I11</f>
        <v>7.1341193885627943E-2</v>
      </c>
      <c r="J9" s="20">
        <f>I9</f>
        <v>7.1341193885627943E-2</v>
      </c>
      <c r="O9" s="1" t="s">
        <v>434</v>
      </c>
      <c r="P9" s="49">
        <f>C19+C20</f>
        <v>99.78615649809818</v>
      </c>
      <c r="Q9" s="1">
        <f>0.26*P9</f>
        <v>25.944400689505528</v>
      </c>
      <c r="R9" s="1">
        <f>F11</f>
        <v>99.78615649809818</v>
      </c>
      <c r="S9" s="1">
        <f t="shared" si="7"/>
        <v>89.807540848288369</v>
      </c>
      <c r="T9" s="1">
        <f t="shared" si="0"/>
        <v>296.27599991033497</v>
      </c>
      <c r="U9" s="1">
        <f>S55*S9</f>
        <v>58.205280607160809</v>
      </c>
      <c r="V9">
        <f>U8+U7+U6+U5+U3+S63</f>
        <v>646.56283181199206</v>
      </c>
      <c r="AE9" t="s">
        <v>27</v>
      </c>
      <c r="AF9">
        <f t="shared" si="1"/>
        <v>0.26</v>
      </c>
      <c r="AG9">
        <f t="shared" si="2"/>
        <v>0.9</v>
      </c>
      <c r="AH9">
        <f t="shared" si="3"/>
        <v>0.80354372063624435</v>
      </c>
      <c r="AI9">
        <f t="shared" si="4"/>
        <v>0.18802923062888119</v>
      </c>
      <c r="AJ9">
        <f t="shared" si="5"/>
        <v>0.24904315878828057</v>
      </c>
      <c r="AK9">
        <f t="shared" si="6"/>
        <v>4.6827393540346686E-2</v>
      </c>
    </row>
    <row r="10" spans="1:37" x14ac:dyDescent="0.25">
      <c r="A10" s="1" t="s">
        <v>71</v>
      </c>
      <c r="B10" s="1">
        <v>117.0000429802006</v>
      </c>
      <c r="C10" s="1">
        <f t="shared" si="8"/>
        <v>53.070283495475152</v>
      </c>
      <c r="E10" s="15" t="s">
        <v>72</v>
      </c>
      <c r="F10" s="15">
        <f>C5*I5</f>
        <v>52.543143741283608</v>
      </c>
      <c r="O10" s="1" t="s">
        <v>531</v>
      </c>
      <c r="P10" s="1"/>
      <c r="Q10" s="1"/>
      <c r="R10" s="1"/>
      <c r="S10" s="1"/>
      <c r="T10" s="1">
        <f>SUM(T3:T9)</f>
        <v>2824.1765606228491</v>
      </c>
      <c r="U10" s="1">
        <f>SUM(U3:U9)</f>
        <v>792.67927404306636</v>
      </c>
      <c r="AK10">
        <f>SUM(AK3:AK9)</f>
        <v>0.12678736205742433</v>
      </c>
    </row>
    <row r="11" spans="1:37" x14ac:dyDescent="0.25">
      <c r="A11" s="1" t="s">
        <v>78</v>
      </c>
      <c r="B11" s="1">
        <v>0</v>
      </c>
      <c r="C11" s="1">
        <f t="shared" si="8"/>
        <v>0</v>
      </c>
      <c r="E11" s="15" t="s">
        <v>79</v>
      </c>
      <c r="F11" s="15">
        <f>C19+C20</f>
        <v>99.78615649809818</v>
      </c>
      <c r="H11" s="19" t="s">
        <v>80</v>
      </c>
      <c r="I11">
        <v>97.278999999999996</v>
      </c>
      <c r="Q11" t="s">
        <v>532</v>
      </c>
    </row>
    <row r="12" spans="1:37" ht="15.75" customHeight="1" x14ac:dyDescent="0.25">
      <c r="A12" s="1" t="s">
        <v>85</v>
      </c>
      <c r="B12" s="1">
        <v>10.434355608473711</v>
      </c>
      <c r="C12" s="1">
        <f t="shared" si="8"/>
        <v>4.7329402291588076</v>
      </c>
      <c r="Q12" s="52" t="s">
        <v>533</v>
      </c>
      <c r="S12" t="s">
        <v>534</v>
      </c>
      <c r="T12" s="1">
        <f>3954829.90961793/1000</f>
        <v>3954.8299096179303</v>
      </c>
      <c r="AF12">
        <f>SUM(Q3:Q9)/SUM(P3:P9)</f>
        <v>0.21133115122116417</v>
      </c>
      <c r="AG12">
        <f>SUM(S3:S9)/SUM(R3:R9)</f>
        <v>0.89999999999999991</v>
      </c>
      <c r="AH12">
        <f>1-U10/T10</f>
        <v>0.71932375436603468</v>
      </c>
      <c r="AJ12">
        <f>AH12*AG12*AF12</f>
        <v>0.13681396539981361</v>
      </c>
    </row>
    <row r="13" spans="1:37" x14ac:dyDescent="0.25">
      <c r="A13" s="1" t="s">
        <v>89</v>
      </c>
      <c r="B13" s="1">
        <v>28.9843211346492</v>
      </c>
      <c r="C13" s="1">
        <f t="shared" si="8"/>
        <v>13.147056192107799</v>
      </c>
    </row>
    <row r="14" spans="1:37" x14ac:dyDescent="0.25">
      <c r="A14" s="1" t="s">
        <v>93</v>
      </c>
      <c r="B14" s="1">
        <v>28.9843211346492</v>
      </c>
      <c r="C14" s="1">
        <f t="shared" si="8"/>
        <v>13.147056192107799</v>
      </c>
      <c r="O14" s="1"/>
      <c r="P14" s="1" t="s">
        <v>423</v>
      </c>
      <c r="Q14" s="1" t="s">
        <v>469</v>
      </c>
      <c r="R14" s="1" t="s">
        <v>468</v>
      </c>
      <c r="S14" s="1" t="s">
        <v>471</v>
      </c>
      <c r="V14" s="1"/>
      <c r="W14" s="1" t="s">
        <v>535</v>
      </c>
      <c r="X14" s="1" t="s">
        <v>536</v>
      </c>
      <c r="Y14" s="1" t="s">
        <v>49</v>
      </c>
      <c r="Z14" s="1" t="s">
        <v>537</v>
      </c>
      <c r="AA14" s="1" t="s">
        <v>538</v>
      </c>
      <c r="AB14" s="1" t="s">
        <v>539</v>
      </c>
      <c r="AF14">
        <f>AF12*AG12</f>
        <v>0.19019803609904773</v>
      </c>
    </row>
    <row r="15" spans="1:37" x14ac:dyDescent="0.25">
      <c r="A15" s="1" t="s">
        <v>104</v>
      </c>
      <c r="B15" s="1">
        <v>0.77291523025731201</v>
      </c>
      <c r="C15" s="1">
        <f t="shared" si="8"/>
        <v>0.35058816512287466</v>
      </c>
      <c r="H15" s="1" t="str">
        <f t="shared" ref="H15:H23" si="9">A31</f>
        <v>Raw Material</v>
      </c>
      <c r="I15" s="1" t="str">
        <f t="shared" ref="I15:I23" si="10">B31</f>
        <v>as available in cell</v>
      </c>
      <c r="O15" s="1" t="s">
        <v>540</v>
      </c>
      <c r="P15" s="1"/>
      <c r="Q15" s="1"/>
      <c r="R15" s="1"/>
      <c r="S15" s="1"/>
      <c r="V15" s="1" t="s">
        <v>541</v>
      </c>
      <c r="W15" s="1"/>
      <c r="X15" s="1"/>
      <c r="Y15" s="1" t="s">
        <v>542</v>
      </c>
      <c r="Z15" s="1"/>
      <c r="AA15" s="1"/>
      <c r="AB15" s="1"/>
    </row>
    <row r="16" spans="1:37" x14ac:dyDescent="0.25">
      <c r="A16" s="1" t="s">
        <v>107</v>
      </c>
      <c r="B16" s="1">
        <v>5.9900930344941683</v>
      </c>
      <c r="C16" s="1">
        <f t="shared" si="8"/>
        <v>2.7170582797022789</v>
      </c>
      <c r="H16" s="1" t="str">
        <f t="shared" si="9"/>
        <v>LiCO3</v>
      </c>
      <c r="I16" s="1">
        <f t="shared" si="10"/>
        <v>41.336978874459518</v>
      </c>
      <c r="O16" s="1" t="s">
        <v>543</v>
      </c>
      <c r="P16" s="1">
        <v>115.35555337919421</v>
      </c>
      <c r="Q16" s="1">
        <v>92.739405365947874</v>
      </c>
      <c r="R16" s="1">
        <v>87.80539010914049</v>
      </c>
      <c r="S16" s="1">
        <v>7.4048778465774294</v>
      </c>
      <c r="V16" s="1" t="s">
        <v>543</v>
      </c>
      <c r="W16" s="1">
        <v>4.2403736024412948E-2</v>
      </c>
      <c r="X16" s="1">
        <v>9.3501426183255382E-2</v>
      </c>
      <c r="Y16" s="1">
        <v>2.529241569205385E-2</v>
      </c>
      <c r="Z16" s="1">
        <v>1.4602806539523609E-2</v>
      </c>
      <c r="AA16" s="1">
        <v>4.6802945320607858E-3</v>
      </c>
      <c r="AB16" s="1">
        <v>1.645729457647287E-2</v>
      </c>
    </row>
    <row r="17" spans="1:28" x14ac:dyDescent="0.25">
      <c r="A17" s="1" t="s">
        <v>109</v>
      </c>
      <c r="B17" s="1">
        <v>8.9851395517412502</v>
      </c>
      <c r="C17" s="1">
        <f t="shared" si="8"/>
        <v>4.0755874195534174</v>
      </c>
      <c r="H17" s="1" t="str">
        <f t="shared" si="9"/>
        <v>Al</v>
      </c>
      <c r="I17" s="1">
        <f t="shared" si="10"/>
        <v>11.589829220354574</v>
      </c>
      <c r="O17" s="1" t="s">
        <v>544</v>
      </c>
      <c r="P17" s="1">
        <v>112.4930720819733</v>
      </c>
      <c r="Q17" s="1">
        <v>86.768633557126009</v>
      </c>
      <c r="R17" s="1">
        <v>77.023369254554012</v>
      </c>
      <c r="S17" s="1">
        <v>5.7659536199282186</v>
      </c>
      <c r="V17" s="1" t="s">
        <v>544</v>
      </c>
      <c r="W17" s="1">
        <v>3.992593956052469E-2</v>
      </c>
      <c r="X17" s="1">
        <v>6.3763299477138574E-2</v>
      </c>
      <c r="Y17" s="1">
        <v>1.9665277127219511E-2</v>
      </c>
      <c r="Z17" s="1">
        <v>1.3581185834154109E-2</v>
      </c>
      <c r="AA17" s="1">
        <v>3.8548277644597892E-3</v>
      </c>
      <c r="AB17" s="1">
        <v>1.378282279360858E-2</v>
      </c>
    </row>
    <row r="18" spans="1:28" x14ac:dyDescent="0.25">
      <c r="A18" s="1" t="s">
        <v>111</v>
      </c>
      <c r="B18" s="1">
        <v>1.6424448642967879</v>
      </c>
      <c r="C18" s="1">
        <f t="shared" si="8"/>
        <v>0.74499985088610865</v>
      </c>
      <c r="F18" s="30"/>
      <c r="H18" s="1" t="str">
        <f t="shared" si="9"/>
        <v>Cu</v>
      </c>
      <c r="I18" s="1">
        <f t="shared" si="10"/>
        <v>33.700287372436321</v>
      </c>
      <c r="O18" s="1" t="s">
        <v>545</v>
      </c>
      <c r="P18" s="1">
        <v>80.842553201247242</v>
      </c>
      <c r="Q18" s="1">
        <v>16.1431085132952</v>
      </c>
      <c r="R18" s="1">
        <v>15.48974716110861</v>
      </c>
      <c r="S18" s="1">
        <v>1.8920006592147149</v>
      </c>
      <c r="V18" s="1" t="s">
        <v>545</v>
      </c>
      <c r="W18" s="1">
        <v>5.4538109741785884E-3</v>
      </c>
      <c r="X18" s="1">
        <v>2.7877329036997571E-2</v>
      </c>
      <c r="Y18" s="1">
        <v>6.3053565367288166E-3</v>
      </c>
      <c r="Z18" s="1">
        <v>1.03930063391589E-2</v>
      </c>
      <c r="AA18" s="1">
        <v>1.0418458353268259E-3</v>
      </c>
      <c r="AB18" s="1">
        <v>2.6814986882752168E-3</v>
      </c>
    </row>
    <row r="19" spans="1:28" x14ac:dyDescent="0.25">
      <c r="A19" s="1" t="s">
        <v>115</v>
      </c>
      <c r="B19" s="1">
        <v>156.90179174223431</v>
      </c>
      <c r="C19" s="1">
        <f t="shared" si="8"/>
        <v>71.169397519943544</v>
      </c>
      <c r="H19" s="1" t="str">
        <f t="shared" si="9"/>
        <v>CoSO4</v>
      </c>
      <c r="I19" s="1">
        <f t="shared" si="10"/>
        <v>17.345321630654819</v>
      </c>
      <c r="O19" s="1" t="s">
        <v>546</v>
      </c>
      <c r="P19" s="1">
        <v>5.6270885613413446</v>
      </c>
      <c r="Q19" s="1">
        <v>35.864794293409297</v>
      </c>
      <c r="R19" s="1">
        <v>47.027913220609697</v>
      </c>
      <c r="S19" s="1">
        <v>2.801530448197</v>
      </c>
      <c r="V19" s="1" t="s">
        <v>546</v>
      </c>
      <c r="W19" s="1">
        <v>1.8633954539435449E-2</v>
      </c>
      <c r="X19" s="1">
        <v>2.6903538869066639E-2</v>
      </c>
      <c r="Y19" s="1">
        <v>9.5336187949735928E-3</v>
      </c>
      <c r="Z19" s="1">
        <v>3.2913879900325002E-3</v>
      </c>
      <c r="AA19" s="1">
        <v>2.7820945717948048E-3</v>
      </c>
      <c r="AB19" s="1">
        <v>1.0475315895142849E-2</v>
      </c>
    </row>
    <row r="20" spans="1:28" x14ac:dyDescent="0.25">
      <c r="A20" s="1" t="s">
        <v>120</v>
      </c>
      <c r="B20" s="1">
        <v>63.089205669753078</v>
      </c>
      <c r="C20" s="1">
        <f t="shared" si="8"/>
        <v>28.616758978154639</v>
      </c>
      <c r="H20" s="1" t="str">
        <f t="shared" si="9"/>
        <v>NiSO4</v>
      </c>
      <c r="I20" s="1">
        <f t="shared" si="10"/>
        <v>138.54236656949459</v>
      </c>
      <c r="O20" s="1" t="s">
        <v>547</v>
      </c>
      <c r="P20" s="1">
        <v>26.02343031938468</v>
      </c>
      <c r="Q20" s="1">
        <v>34.760730750421502</v>
      </c>
      <c r="R20" s="1">
        <v>14.505708872835701</v>
      </c>
      <c r="S20" s="1">
        <v>1.072422512516503</v>
      </c>
      <c r="V20" s="1" t="s">
        <v>547</v>
      </c>
      <c r="W20" s="1">
        <v>1.5838174046910649E-2</v>
      </c>
      <c r="X20" s="1">
        <v>8.9824315710743605E-3</v>
      </c>
      <c r="Y20" s="1">
        <v>3.826301795517096E-3</v>
      </c>
      <c r="Z20" s="1">
        <v>-1.032084950373005E-4</v>
      </c>
      <c r="AA20" s="1">
        <v>3.0887357338157752E-5</v>
      </c>
      <c r="AB20" s="1">
        <v>6.2600821019051229E-4</v>
      </c>
    </row>
    <row r="21" spans="1:28" x14ac:dyDescent="0.25">
      <c r="A21" s="1" t="s">
        <v>125</v>
      </c>
      <c r="B21" s="1">
        <v>0.28984321134649199</v>
      </c>
      <c r="C21" s="1">
        <f t="shared" si="8"/>
        <v>0.13147056192107801</v>
      </c>
      <c r="H21" s="1" t="str">
        <f t="shared" si="9"/>
        <v>MnSO4</v>
      </c>
      <c r="I21" s="1">
        <f t="shared" si="10"/>
        <v>16.896773085073367</v>
      </c>
      <c r="O21" s="1" t="s">
        <v>548</v>
      </c>
      <c r="P21" s="1">
        <v>11865.315171224751</v>
      </c>
      <c r="Q21" s="1">
        <v>6811.9230538629199</v>
      </c>
      <c r="R21" s="1">
        <v>19290.02204967977</v>
      </c>
      <c r="S21" s="1">
        <v>595.76631225618189</v>
      </c>
      <c r="V21" s="1" t="s">
        <v>549</v>
      </c>
      <c r="W21" s="1">
        <v>1.1558742570416609</v>
      </c>
      <c r="X21" s="1">
        <v>37.783915581555782</v>
      </c>
      <c r="Y21" s="1">
        <v>2.929060161384748</v>
      </c>
      <c r="Z21" s="1">
        <v>0.40197833277376849</v>
      </c>
      <c r="AA21" s="1">
        <v>0.27501018265110427</v>
      </c>
      <c r="AB21" s="1">
        <v>2.7176971597957418</v>
      </c>
    </row>
    <row r="22" spans="1:28" x14ac:dyDescent="0.25">
      <c r="A22" s="1" t="s">
        <v>130</v>
      </c>
      <c r="B22" s="1">
        <v>3.574732939940068</v>
      </c>
      <c r="C22" s="1">
        <f t="shared" si="8"/>
        <v>1.6214702636932954</v>
      </c>
      <c r="H22" s="1" t="str">
        <f t="shared" si="9"/>
        <v>graphite</v>
      </c>
      <c r="I22" s="1">
        <f t="shared" si="10"/>
        <v>76.033808311023435</v>
      </c>
      <c r="O22" s="1" t="s">
        <v>550</v>
      </c>
      <c r="P22" s="1"/>
      <c r="Q22" s="1"/>
      <c r="R22" s="1"/>
      <c r="S22" s="1"/>
      <c r="V22" s="1" t="s">
        <v>551</v>
      </c>
      <c r="W22" s="1"/>
      <c r="X22" s="1"/>
      <c r="Y22" s="1" t="s">
        <v>542</v>
      </c>
      <c r="Z22" s="1"/>
      <c r="AA22" s="1"/>
      <c r="AB22" s="1"/>
    </row>
    <row r="23" spans="1:28" x14ac:dyDescent="0.25">
      <c r="A23" s="1" t="s">
        <v>136</v>
      </c>
      <c r="B23" s="1">
        <v>39.998363165815903</v>
      </c>
      <c r="C23" s="1">
        <f t="shared" si="8"/>
        <v>18.142937545108765</v>
      </c>
      <c r="H23" s="24" t="str">
        <f t="shared" si="9"/>
        <v>TOTAL:</v>
      </c>
      <c r="I23" s="1">
        <f t="shared" si="10"/>
        <v>335.44536506349664</v>
      </c>
      <c r="O23" s="1" t="s">
        <v>552</v>
      </c>
      <c r="P23" s="1">
        <v>1844.688240416373</v>
      </c>
      <c r="Q23" s="1">
        <v>2237.5168161196771</v>
      </c>
      <c r="R23" s="1">
        <v>1502.570263029588</v>
      </c>
      <c r="S23" s="1">
        <v>80.950090659460841</v>
      </c>
      <c r="V23" s="1" t="s">
        <v>552</v>
      </c>
      <c r="W23" s="1">
        <v>0.65416776834006929</v>
      </c>
      <c r="X23" s="1">
        <v>1.0756207314326569</v>
      </c>
      <c r="Y23" s="1">
        <v>0.50095205865538406</v>
      </c>
      <c r="Z23" s="1">
        <v>1.5742684083172149</v>
      </c>
      <c r="AA23" s="1">
        <v>0.14622852105023179</v>
      </c>
      <c r="AB23" s="1">
        <v>0.47121783597763639</v>
      </c>
    </row>
    <row r="24" spans="1:28" ht="15.75" customHeight="1" thickBot="1" x14ac:dyDescent="0.3">
      <c r="A24" s="9" t="s">
        <v>140</v>
      </c>
      <c r="B24" s="9">
        <v>9.1783683593055336</v>
      </c>
      <c r="C24" s="9">
        <f t="shared" si="8"/>
        <v>4.1632344608341159</v>
      </c>
      <c r="O24" s="1" t="s">
        <v>553</v>
      </c>
      <c r="P24" s="1">
        <v>7775.7435770888906</v>
      </c>
      <c r="Q24" s="1">
        <v>8593.8941657050655</v>
      </c>
      <c r="R24" s="1">
        <v>4582.0073062231741</v>
      </c>
      <c r="S24" s="1">
        <v>313.07926811255049</v>
      </c>
      <c r="V24" s="1" t="s">
        <v>553</v>
      </c>
      <c r="W24" s="1">
        <v>18.692739738132641</v>
      </c>
      <c r="X24" s="1">
        <v>2.9853743526658252</v>
      </c>
      <c r="Y24" s="1">
        <v>1.262344713309304</v>
      </c>
      <c r="Z24" s="1">
        <v>11.041738923090669</v>
      </c>
      <c r="AA24" s="1">
        <v>1.7710891793891279</v>
      </c>
      <c r="AB24" s="1">
        <v>0.81068111864276371</v>
      </c>
    </row>
    <row r="25" spans="1:28" ht="15.75" customHeight="1" thickBot="1" x14ac:dyDescent="0.3">
      <c r="A25" s="10" t="s">
        <v>470</v>
      </c>
      <c r="B25" s="11">
        <f>SUM(B5:B24)</f>
        <v>966.14403782163981</v>
      </c>
      <c r="C25" s="12">
        <f>SUM(C5:C24)</f>
        <v>438.23520640359334</v>
      </c>
      <c r="O25" s="1" t="s">
        <v>554</v>
      </c>
      <c r="P25" s="1">
        <v>16281.579407785481</v>
      </c>
      <c r="Q25" s="1">
        <v>16097.09946375357</v>
      </c>
      <c r="R25" s="1">
        <v>7985.8501767559856</v>
      </c>
      <c r="S25" s="1">
        <v>700.39275388674355</v>
      </c>
      <c r="V25" s="1" t="s">
        <v>554</v>
      </c>
      <c r="W25" s="1">
        <v>2.1896353994083699</v>
      </c>
      <c r="X25" s="1">
        <v>6.2569281648687101</v>
      </c>
      <c r="Y25" s="1">
        <v>2.1392642056133879</v>
      </c>
      <c r="Z25" s="1">
        <v>1.4433378708395459</v>
      </c>
      <c r="AA25" s="1">
        <v>0.32652808075065792</v>
      </c>
      <c r="AB25" s="1">
        <v>1.3772535039449429</v>
      </c>
    </row>
    <row r="26" spans="1:28" x14ac:dyDescent="0.25">
      <c r="O26" s="1" t="s">
        <v>555</v>
      </c>
      <c r="P26" s="1">
        <v>2941.944876590997</v>
      </c>
      <c r="Q26" s="1">
        <v>1438.362026784946</v>
      </c>
      <c r="R26" s="1">
        <v>21864.981311351032</v>
      </c>
      <c r="S26" s="1">
        <v>1764.0904161082681</v>
      </c>
      <c r="V26" s="1" t="s">
        <v>555</v>
      </c>
      <c r="W26" s="1">
        <v>0.24021639256614291</v>
      </c>
      <c r="X26" s="1">
        <v>1.3419315614827489</v>
      </c>
      <c r="Y26" s="1">
        <v>0.34693161735867512</v>
      </c>
      <c r="Z26" s="1">
        <v>0.76072345663024232</v>
      </c>
      <c r="AA26" s="1">
        <v>0.32905941001022049</v>
      </c>
      <c r="AB26" s="1">
        <v>0.29194243138737652</v>
      </c>
    </row>
    <row r="27" spans="1:28" x14ac:dyDescent="0.25">
      <c r="F27" t="s">
        <v>556</v>
      </c>
      <c r="O27" s="1" t="s">
        <v>557</v>
      </c>
      <c r="P27" s="1">
        <v>2074.8602602857891</v>
      </c>
      <c r="Q27" s="1">
        <v>1059.005707670088</v>
      </c>
      <c r="R27" s="1">
        <v>2640.8949276668709</v>
      </c>
      <c r="S27" s="1">
        <v>891.64816785682763</v>
      </c>
      <c r="V27" s="1" t="s">
        <v>557</v>
      </c>
      <c r="W27" s="1">
        <v>0.1479149074864472</v>
      </c>
      <c r="X27" s="1">
        <v>1.448320139239182</v>
      </c>
      <c r="Y27" s="1">
        <v>0.2367788117303441</v>
      </c>
      <c r="Z27" s="1">
        <v>0.36380852132897701</v>
      </c>
      <c r="AA27" s="1">
        <v>0.16847068080993521</v>
      </c>
      <c r="AB27" s="1">
        <v>0.23404745192834719</v>
      </c>
    </row>
    <row r="28" spans="1:28" x14ac:dyDescent="0.25">
      <c r="A28" s="87" t="s">
        <v>472</v>
      </c>
      <c r="B28" s="88"/>
      <c r="C28" s="13">
        <f>SUM(C5:C18)-H48</f>
        <v>272.90948279881729</v>
      </c>
      <c r="G28" t="s">
        <v>558</v>
      </c>
      <c r="O28" s="1" t="s">
        <v>559</v>
      </c>
      <c r="P28" s="1">
        <v>13865.112807884239</v>
      </c>
      <c r="Q28" s="1">
        <v>243784.7870470192</v>
      </c>
      <c r="R28" s="1">
        <v>22287.94800248809</v>
      </c>
      <c r="S28" s="1">
        <v>1528.685365085732</v>
      </c>
      <c r="V28" s="1" t="s">
        <v>559</v>
      </c>
      <c r="W28" s="1">
        <v>0.75412685462635998</v>
      </c>
      <c r="X28" s="1">
        <v>17.736062761459792</v>
      </c>
      <c r="Y28" s="1">
        <v>1.9511901921089041</v>
      </c>
      <c r="Z28" s="1">
        <v>5.5083069363156394</v>
      </c>
      <c r="AA28" s="1">
        <v>0.28608705897754921</v>
      </c>
      <c r="AB28" s="1">
        <v>1.2321048167482169</v>
      </c>
    </row>
    <row r="29" spans="1:28" x14ac:dyDescent="0.25">
      <c r="G29" t="s">
        <v>157</v>
      </c>
      <c r="O29" s="1" t="s">
        <v>560</v>
      </c>
      <c r="P29" s="1">
        <v>181.50086005114329</v>
      </c>
      <c r="Q29" s="1">
        <v>93.17849952870769</v>
      </c>
      <c r="R29" s="1">
        <v>75.189213821660147</v>
      </c>
      <c r="S29" s="1">
        <v>3.9878461058498909</v>
      </c>
      <c r="V29" s="1" t="s">
        <v>560</v>
      </c>
      <c r="W29" s="1">
        <v>1.265560144070977E-2</v>
      </c>
      <c r="X29" s="1">
        <v>2.5122321338963551E-2</v>
      </c>
      <c r="Y29" s="1">
        <v>1.116570325461755E-2</v>
      </c>
      <c r="Z29" s="1">
        <v>4.4037466219032564E-3</v>
      </c>
      <c r="AA29" s="1">
        <v>1.5171555199421901E-3</v>
      </c>
      <c r="AB29" s="1">
        <v>7.2524387877371177E-3</v>
      </c>
    </row>
    <row r="30" spans="1:28" x14ac:dyDescent="0.25">
      <c r="G30" t="s">
        <v>561</v>
      </c>
      <c r="O30" s="1" t="s">
        <v>562</v>
      </c>
      <c r="P30" s="1">
        <v>360.12903626959468</v>
      </c>
      <c r="Q30" s="1">
        <v>191.54336618568081</v>
      </c>
      <c r="R30" s="1">
        <v>135.793567993701</v>
      </c>
      <c r="S30" s="1">
        <v>13.73354736327942</v>
      </c>
      <c r="V30" s="1" t="s">
        <v>562</v>
      </c>
      <c r="W30" s="1">
        <v>3.4406760838325688E-2</v>
      </c>
      <c r="X30" s="1">
        <v>6.5050676480171835E-2</v>
      </c>
      <c r="Y30" s="1">
        <v>3.4386218006003957E-2</v>
      </c>
      <c r="Z30" s="1">
        <v>1.258003957026795E-2</v>
      </c>
      <c r="AA30" s="1">
        <v>5.3704787084454539E-3</v>
      </c>
      <c r="AB30" s="1">
        <v>1.9536673007940059E-2</v>
      </c>
    </row>
    <row r="31" spans="1:28" x14ac:dyDescent="0.25">
      <c r="A31" s="1" t="s">
        <v>476</v>
      </c>
      <c r="B31" s="1" t="s">
        <v>563</v>
      </c>
      <c r="F31" t="s">
        <v>558</v>
      </c>
      <c r="G31">
        <v>0</v>
      </c>
      <c r="O31" s="1" t="s">
        <v>564</v>
      </c>
      <c r="P31" s="1">
        <v>15148.24790585902</v>
      </c>
      <c r="Q31" s="1">
        <v>10910.671216437249</v>
      </c>
      <c r="R31" s="1">
        <v>10817.55955898293</v>
      </c>
      <c r="S31" s="1">
        <v>801.65867882675059</v>
      </c>
      <c r="V31" s="1" t="s">
        <v>564</v>
      </c>
      <c r="W31" s="1">
        <v>82.827668291930109</v>
      </c>
      <c r="X31" s="1">
        <v>10.0044561936564</v>
      </c>
      <c r="Y31" s="1">
        <v>2.7463703967292772</v>
      </c>
      <c r="Z31" s="1">
        <v>2.0495350379088402</v>
      </c>
      <c r="AA31" s="1">
        <v>0.57012165303989248</v>
      </c>
      <c r="AB31" s="1">
        <v>2.1216792802750368</v>
      </c>
    </row>
    <row r="32" spans="1:28" x14ac:dyDescent="0.25">
      <c r="A32" s="1" t="s">
        <v>479</v>
      </c>
      <c r="B32" s="1">
        <f>C5*B49/C55</f>
        <v>41.336978874459518</v>
      </c>
      <c r="C32" s="7">
        <f t="shared" ref="C32:C38" si="11">B32/$B$39</f>
        <v>0.12323013873402251</v>
      </c>
      <c r="D32" s="7">
        <f t="shared" ref="D32:D38" si="12">B32/$C$25</f>
        <v>9.4326010942147279E-2</v>
      </c>
      <c r="F32" t="s">
        <v>565</v>
      </c>
      <c r="G32" s="7">
        <v>2.4193105920846291E-2</v>
      </c>
      <c r="O32" s="1" t="s">
        <v>566</v>
      </c>
      <c r="P32" s="1">
        <v>113.03767633984209</v>
      </c>
      <c r="Q32" s="1">
        <v>191.86557532729901</v>
      </c>
      <c r="R32" s="1">
        <v>170.22722992227619</v>
      </c>
      <c r="S32" s="1">
        <v>17.834402831069479</v>
      </c>
      <c r="V32" s="1" t="s">
        <v>566</v>
      </c>
      <c r="W32" s="1">
        <v>3.5543274252760639E-2</v>
      </c>
      <c r="X32" s="1">
        <v>9.8901242957514693E-2</v>
      </c>
      <c r="Y32" s="1">
        <v>0.48251745962359899</v>
      </c>
      <c r="Z32" s="1">
        <v>1.130003302314958E-2</v>
      </c>
      <c r="AA32" s="1">
        <v>6.6418678823458978E-3</v>
      </c>
      <c r="AB32" s="1">
        <v>2.567067794468509E-2</v>
      </c>
    </row>
    <row r="33" spans="1:28" x14ac:dyDescent="0.25">
      <c r="A33" s="1" t="s">
        <v>480</v>
      </c>
      <c r="B33" s="1">
        <f>H47-H48</f>
        <v>11.589829220354574</v>
      </c>
      <c r="C33" s="7">
        <f t="shared" si="11"/>
        <v>3.455057194831334E-2</v>
      </c>
      <c r="D33" s="7">
        <f t="shared" si="12"/>
        <v>2.6446595460614144E-2</v>
      </c>
      <c r="F33" t="s">
        <v>49</v>
      </c>
      <c r="G33" s="7">
        <v>0</v>
      </c>
      <c r="O33" s="1" t="s">
        <v>567</v>
      </c>
      <c r="P33" s="1">
        <v>10714973.63790263</v>
      </c>
      <c r="Q33" s="1">
        <v>6718014.2123218337</v>
      </c>
      <c r="R33" s="1">
        <v>5505176.9165603817</v>
      </c>
      <c r="S33" s="1">
        <v>702619.65990391502</v>
      </c>
      <c r="V33" s="1" t="s">
        <v>567</v>
      </c>
      <c r="W33" s="1">
        <v>1469.816822442938</v>
      </c>
      <c r="X33" s="1">
        <v>5952.1962980944618</v>
      </c>
      <c r="Y33" s="1">
        <v>1533.6993207108751</v>
      </c>
      <c r="Z33" s="1">
        <v>1260.3480744177621</v>
      </c>
      <c r="AA33" s="1">
        <v>271.93694203406778</v>
      </c>
      <c r="AB33" s="1">
        <v>981.07828346368183</v>
      </c>
    </row>
    <row r="34" spans="1:28" x14ac:dyDescent="0.25">
      <c r="A34" s="1" t="s">
        <v>481</v>
      </c>
      <c r="B34" s="1">
        <f>C9</f>
        <v>33.700287372436321</v>
      </c>
      <c r="C34" s="7">
        <f t="shared" si="11"/>
        <v>0.1004643106815835</v>
      </c>
      <c r="D34" s="7">
        <f t="shared" si="12"/>
        <v>7.6899999999999982E-2</v>
      </c>
      <c r="F34" t="s">
        <v>405</v>
      </c>
      <c r="G34" s="7">
        <v>0.24878276923274001</v>
      </c>
      <c r="O34" s="1" t="s">
        <v>568</v>
      </c>
      <c r="P34" s="1"/>
      <c r="Q34" s="1"/>
      <c r="R34" s="1"/>
      <c r="S34" s="1"/>
      <c r="V34" s="1" t="s">
        <v>569</v>
      </c>
      <c r="W34" s="1">
        <v>1501.2299506237109</v>
      </c>
      <c r="X34" s="1">
        <v>5960.2399519282844</v>
      </c>
      <c r="Y34" s="1">
        <v>1537.24430584317</v>
      </c>
      <c r="Z34" s="1">
        <v>1282.60584831235</v>
      </c>
      <c r="AA34" s="1">
        <v>275.17582773038112</v>
      </c>
      <c r="AB34" s="1">
        <v>983.82083985796498</v>
      </c>
    </row>
    <row r="35" spans="1:28" x14ac:dyDescent="0.25">
      <c r="A35" s="1" t="s">
        <v>482</v>
      </c>
      <c r="B35" s="1">
        <f>C5*B46/C53</f>
        <v>17.345321630654819</v>
      </c>
      <c r="C35" s="7">
        <f t="shared" si="11"/>
        <v>5.1708335953223002E-2</v>
      </c>
      <c r="D35" s="7">
        <f t="shared" si="12"/>
        <v>3.9579936475210117E-2</v>
      </c>
      <c r="F35" t="s">
        <v>570</v>
      </c>
      <c r="G35" s="7">
        <v>0.13829697015025599</v>
      </c>
      <c r="O35" s="1" t="s">
        <v>552</v>
      </c>
      <c r="P35" s="1">
        <v>73.96441695104258</v>
      </c>
      <c r="Q35" s="1">
        <v>98.97599611906341</v>
      </c>
      <c r="R35" s="1">
        <v>75.209894673353133</v>
      </c>
      <c r="S35" s="1">
        <v>6.3735081169700258</v>
      </c>
      <c r="U35" s="38" t="s">
        <v>571</v>
      </c>
      <c r="V35" s="39" t="s">
        <v>572</v>
      </c>
      <c r="W35" s="39">
        <v>3979.1977795942312</v>
      </c>
      <c r="X35" s="39">
        <v>6517.9237056296661</v>
      </c>
      <c r="Y35" s="39">
        <v>1750.813410142945</v>
      </c>
      <c r="Z35" s="39">
        <v>1346.766901457353</v>
      </c>
      <c r="AA35" s="39">
        <v>293.97868292285028</v>
      </c>
      <c r="AB35" s="39">
        <v>1068.1303672536019</v>
      </c>
    </row>
    <row r="36" spans="1:28" x14ac:dyDescent="0.25">
      <c r="A36" s="1" t="s">
        <v>483</v>
      </c>
      <c r="B36" s="1">
        <f>C5*B45/C52</f>
        <v>138.54236656949459</v>
      </c>
      <c r="C36" s="7">
        <f t="shared" si="11"/>
        <v>0.4130102275918161</v>
      </c>
      <c r="D36" s="7">
        <f t="shared" si="12"/>
        <v>0.31613700712558407</v>
      </c>
      <c r="F36" t="s">
        <v>573</v>
      </c>
      <c r="G36" s="7">
        <v>2.255308321448855E-2</v>
      </c>
      <c r="O36" s="1" t="s">
        <v>553</v>
      </c>
      <c r="P36" s="1">
        <v>141.57344373968999</v>
      </c>
      <c r="Q36" s="1">
        <v>277.26364374138052</v>
      </c>
      <c r="R36" s="1">
        <v>330.54961113182469</v>
      </c>
      <c r="S36" s="1">
        <v>37.249893960218891</v>
      </c>
      <c r="V36" s="1" t="s">
        <v>574</v>
      </c>
      <c r="W36" s="1"/>
      <c r="X36" s="1"/>
      <c r="Y36" s="1" t="s">
        <v>542</v>
      </c>
      <c r="Z36" s="1"/>
      <c r="AA36" s="1"/>
      <c r="AB36" s="1"/>
    </row>
    <row r="37" spans="1:28" x14ac:dyDescent="0.25">
      <c r="A37" s="1" t="s">
        <v>484</v>
      </c>
      <c r="B37" s="1">
        <f>C5*B47/C54</f>
        <v>16.896773085073367</v>
      </c>
      <c r="C37" s="7">
        <f t="shared" si="11"/>
        <v>5.0371162773034495E-2</v>
      </c>
      <c r="D37" s="7">
        <f t="shared" si="12"/>
        <v>3.8556402676402632E-2</v>
      </c>
      <c r="F37" t="s">
        <v>575</v>
      </c>
      <c r="G37" s="7">
        <v>0.19275665122253829</v>
      </c>
      <c r="O37" s="1" t="s">
        <v>576</v>
      </c>
      <c r="P37" s="1">
        <v>325.95545252194449</v>
      </c>
      <c r="Q37" s="1">
        <v>594.92777792786831</v>
      </c>
      <c r="R37" s="1">
        <v>624.41079440872431</v>
      </c>
      <c r="S37" s="1">
        <v>86.04711831022324</v>
      </c>
      <c r="V37" s="1" t="s">
        <v>552</v>
      </c>
      <c r="W37" s="1">
        <v>4.6796729453438803E-2</v>
      </c>
      <c r="X37" s="1">
        <v>4.8101528301944342E-2</v>
      </c>
      <c r="Y37" s="1">
        <v>1.9942111903999461E-2</v>
      </c>
      <c r="Z37" s="1">
        <v>2.7689780516382029E-3</v>
      </c>
      <c r="AA37" s="1">
        <v>2.4819348950531712E-3</v>
      </c>
      <c r="AB37" s="1">
        <v>9.3182219820127834E-3</v>
      </c>
    </row>
    <row r="38" spans="1:28" x14ac:dyDescent="0.25">
      <c r="A38" s="1" t="s">
        <v>504</v>
      </c>
      <c r="B38" s="1">
        <f>C6</f>
        <v>76.033808311023435</v>
      </c>
      <c r="C38" s="7">
        <f t="shared" si="11"/>
        <v>0.22666525231800699</v>
      </c>
      <c r="D38" s="7">
        <f t="shared" si="12"/>
        <v>0.17349999999999999</v>
      </c>
      <c r="O38" s="1" t="s">
        <v>555</v>
      </c>
      <c r="P38" s="1">
        <v>36.721019864514012</v>
      </c>
      <c r="Q38" s="1">
        <v>56.031853673106909</v>
      </c>
      <c r="R38" s="1">
        <v>57.973685623469997</v>
      </c>
      <c r="S38" s="1">
        <v>9.2489795726171948</v>
      </c>
      <c r="V38" s="1" t="s">
        <v>553</v>
      </c>
      <c r="W38" s="1">
        <v>0.114150598824473</v>
      </c>
      <c r="X38" s="1">
        <v>0.33911812073249081</v>
      </c>
      <c r="Y38" s="1">
        <v>0.11793377379204149</v>
      </c>
      <c r="Z38" s="1">
        <v>2.6098879772240308E-2</v>
      </c>
      <c r="AA38" s="1">
        <v>2.1348333339808508E-2</v>
      </c>
      <c r="AB38" s="1">
        <v>5.9694975380543809E-2</v>
      </c>
    </row>
    <row r="39" spans="1:28" x14ac:dyDescent="0.25">
      <c r="A39" s="24" t="s">
        <v>487</v>
      </c>
      <c r="B39" s="1">
        <f>SUM(B32:B38)</f>
        <v>335.44536506349664</v>
      </c>
      <c r="O39" s="1" t="s">
        <v>557</v>
      </c>
      <c r="P39" s="1">
        <v>30.041953887656849</v>
      </c>
      <c r="Q39" s="1">
        <v>47.108866431363879</v>
      </c>
      <c r="R39" s="1">
        <v>47.659623191025439</v>
      </c>
      <c r="S39" s="1">
        <v>7.8191712286401263</v>
      </c>
      <c r="V39" s="1" t="s">
        <v>576</v>
      </c>
      <c r="W39" s="1">
        <v>0.18776352574345079</v>
      </c>
      <c r="X39" s="1">
        <v>0.70244873751899117</v>
      </c>
      <c r="Y39" s="1">
        <v>0.25503096150502869</v>
      </c>
      <c r="Z39" s="1">
        <v>5.1733575860751543E-2</v>
      </c>
      <c r="AA39" s="1">
        <v>4.0337358940269817E-2</v>
      </c>
      <c r="AB39" s="1">
        <v>0.105469926433457</v>
      </c>
    </row>
    <row r="40" spans="1:28" x14ac:dyDescent="0.25">
      <c r="O40" s="1" t="s">
        <v>559</v>
      </c>
      <c r="P40" s="1">
        <v>306.01157595198868</v>
      </c>
      <c r="Q40" s="1">
        <v>447.77198958024871</v>
      </c>
      <c r="R40" s="1">
        <v>530.13975641177854</v>
      </c>
      <c r="S40" s="1">
        <v>77.160309601005082</v>
      </c>
      <c r="V40" s="1" t="s">
        <v>555</v>
      </c>
      <c r="W40" s="1">
        <v>1.9299563197852421E-2</v>
      </c>
      <c r="X40" s="1">
        <v>7.3860551462224117E-2</v>
      </c>
      <c r="Y40" s="1">
        <v>2.750057221276913E-2</v>
      </c>
      <c r="Z40" s="1">
        <v>4.8809640082502284E-3</v>
      </c>
      <c r="AA40" s="1">
        <v>3.9815572193134217E-3</v>
      </c>
      <c r="AB40" s="1">
        <v>8.7658399018482689E-3</v>
      </c>
    </row>
    <row r="41" spans="1:28" x14ac:dyDescent="0.25">
      <c r="O41" s="1" t="s">
        <v>560</v>
      </c>
      <c r="P41" s="1">
        <v>2.2964365872683228</v>
      </c>
      <c r="Q41" s="1">
        <v>3.3726011802094882</v>
      </c>
      <c r="R41" s="1">
        <v>2.789406867244415</v>
      </c>
      <c r="S41" s="1">
        <v>0.48108570027415071</v>
      </c>
      <c r="V41" s="1" t="s">
        <v>557</v>
      </c>
      <c r="W41" s="1">
        <v>1.6086015923671759E-2</v>
      </c>
      <c r="X41" s="1">
        <v>6.0024423549432541E-2</v>
      </c>
      <c r="Y41" s="1">
        <v>2.297383951436827E-2</v>
      </c>
      <c r="Z41" s="1">
        <v>4.0787475601256383E-3</v>
      </c>
      <c r="AA41" s="1">
        <v>3.327628429072119E-3</v>
      </c>
      <c r="AB41" s="1">
        <v>7.2414510697180216E-3</v>
      </c>
    </row>
    <row r="42" spans="1:28" x14ac:dyDescent="0.25">
      <c r="O42" s="1" t="s">
        <v>562</v>
      </c>
      <c r="P42" s="1">
        <v>4.6586580249022109</v>
      </c>
      <c r="Q42" s="1">
        <v>9.0502355034548643</v>
      </c>
      <c r="R42" s="1">
        <v>9.4755039248757917</v>
      </c>
      <c r="S42" s="1">
        <v>2.1990273730026861</v>
      </c>
      <c r="V42" s="1" t="s">
        <v>559</v>
      </c>
      <c r="W42" s="1">
        <v>0.1167272157613873</v>
      </c>
      <c r="X42" s="1">
        <v>0.72722318258249063</v>
      </c>
      <c r="Y42" s="1">
        <v>0.24062203718247069</v>
      </c>
      <c r="Z42" s="1">
        <v>4.3139112477266123E-2</v>
      </c>
      <c r="AA42" s="1">
        <v>3.4999804581568497E-2</v>
      </c>
      <c r="AB42" s="1">
        <v>8.1023353809735341E-2</v>
      </c>
    </row>
    <row r="43" spans="1:28" x14ac:dyDescent="0.25">
      <c r="F43" s="3" t="s">
        <v>386</v>
      </c>
      <c r="O43" s="39" t="s">
        <v>577</v>
      </c>
      <c r="P43" s="39">
        <f>P33*$Q$118+SUM(P31:P32,$Q$119:$Q$120)+SUMPRODUCT(P23:P25,$Q$123:$Q$125)+SUMPRODUCT(P29:P30,$Q$126:$Q$127)</f>
        <v>10730537.723484829</v>
      </c>
      <c r="Q43" s="39">
        <f>Q33*$Q$118+SUM(Q31:Q32,$Q$119:$Q$120)+SUMPRODUCT(Q23:Q25,$Q$123:$Q$125)+SUMPRODUCT(Q29:Q30,$Q$126:$Q$127)</f>
        <v>6729419.5491135987</v>
      </c>
      <c r="R43" s="39">
        <f>R33*$Q$118+SUM(R31:R32,$Q$119:$Q$120)+SUMPRODUCT(R23:R25,$Q$123:$Q$125)+SUMPRODUCT(R29:R30,$Q$126:$Q$127)</f>
        <v>5516467.5033492865</v>
      </c>
      <c r="S43" s="39">
        <f>S33*$Q$118+SUM(S31:S32,$Q$119:$Q$120)+SUMPRODUCT(S23:S25,$Q$123:$Q$125)+SUMPRODUCT(S29:S30,$Q$126:$Q$127)</f>
        <v>703741.95298557286</v>
      </c>
      <c r="V43" s="1" t="s">
        <v>560</v>
      </c>
      <c r="W43" s="1">
        <v>1.2724950047081701E-3</v>
      </c>
      <c r="X43" s="1">
        <v>2.9910563281969988E-3</v>
      </c>
      <c r="Y43" s="1">
        <v>1.314018458085981E-3</v>
      </c>
      <c r="Z43" s="1">
        <v>1.8926925069675851E-4</v>
      </c>
      <c r="AA43" s="1">
        <v>1.5640516129445111E-4</v>
      </c>
      <c r="AB43" s="1">
        <v>3.7024357869892388E-4</v>
      </c>
    </row>
    <row r="44" spans="1:28" x14ac:dyDescent="0.25">
      <c r="A44" s="14" t="s">
        <v>22</v>
      </c>
      <c r="B44" s="14" t="s">
        <v>23</v>
      </c>
      <c r="C44" s="14" t="s">
        <v>24</v>
      </c>
      <c r="F44" s="1" t="s">
        <v>387</v>
      </c>
      <c r="G44" s="13">
        <f>C19+C20</f>
        <v>99.78615649809818</v>
      </c>
      <c r="O44" s="39" t="s">
        <v>578</v>
      </c>
      <c r="P44" s="39">
        <f>1/2000*2.20462*P43/1000</f>
        <v>11.828379037974562</v>
      </c>
      <c r="Q44" s="39">
        <f>1/2000*2.20462*Q43/1000</f>
        <v>7.4179064631834111</v>
      </c>
      <c r="R44" s="39">
        <f>1/2000*2.20462*R43/1000</f>
        <v>6.080857293616952</v>
      </c>
      <c r="S44" s="39">
        <f>1/2000*2.20462*S43/1000</f>
        <v>0.77574179219552686</v>
      </c>
      <c r="V44" s="1" t="s">
        <v>562</v>
      </c>
      <c r="W44" s="1">
        <v>3.736316007827718E-3</v>
      </c>
      <c r="X44" s="1">
        <v>1.1516094314452529E-2</v>
      </c>
      <c r="Y44" s="1">
        <v>5.7975643883269807E-3</v>
      </c>
      <c r="Z44" s="1">
        <v>1.141982031568122E-3</v>
      </c>
      <c r="AA44" s="1">
        <v>9.0140816152213467E-4</v>
      </c>
      <c r="AB44" s="1">
        <v>1.6928491865244419E-3</v>
      </c>
    </row>
    <row r="45" spans="1:28" x14ac:dyDescent="0.25">
      <c r="A45" s="16" t="s">
        <v>32</v>
      </c>
      <c r="B45" s="16">
        <f>0.8*58.693/B51</f>
        <v>0.482677659104226</v>
      </c>
      <c r="C45" s="20">
        <f>B45</f>
        <v>0.482677659104226</v>
      </c>
      <c r="F45" s="1" t="s">
        <v>388</v>
      </c>
      <c r="G45" s="13">
        <f>H48</f>
        <v>41.480454275120579</v>
      </c>
      <c r="V45" s="39" t="s">
        <v>578</v>
      </c>
      <c r="W45" s="39">
        <f t="shared" ref="W45:AB45" si="13">2.20462*W35/1000</f>
        <v>8.7726190088490323</v>
      </c>
      <c r="X45" s="39">
        <f t="shared" si="13"/>
        <v>14.369544959905273</v>
      </c>
      <c r="Y45" s="39">
        <f t="shared" si="13"/>
        <v>3.8598782602693391</v>
      </c>
      <c r="Z45" s="39">
        <f t="shared" si="13"/>
        <v>2.969109246290909</v>
      </c>
      <c r="AA45" s="39">
        <f t="shared" si="13"/>
        <v>0.64811128394537409</v>
      </c>
      <c r="AB45" s="39">
        <f t="shared" si="13"/>
        <v>2.3548215702546353</v>
      </c>
    </row>
    <row r="46" spans="1:28" x14ac:dyDescent="0.25">
      <c r="A46" s="16" t="s">
        <v>40</v>
      </c>
      <c r="B46" s="16">
        <f>0.1*58.933/B51</f>
        <v>6.0581420450456933E-2</v>
      </c>
      <c r="C46" s="20">
        <f>B46</f>
        <v>6.0581420450456933E-2</v>
      </c>
    </row>
    <row r="47" spans="1:28" x14ac:dyDescent="0.25">
      <c r="A47" s="16" t="s">
        <v>48</v>
      </c>
      <c r="B47" s="16">
        <f>0.1*54.938/B51</f>
        <v>5.6474675932112792E-2</v>
      </c>
      <c r="C47" s="20">
        <f>B47</f>
        <v>5.6474675932112792E-2</v>
      </c>
      <c r="G47" t="s">
        <v>389</v>
      </c>
      <c r="H47">
        <f>C10</f>
        <v>53.070283495475152</v>
      </c>
    </row>
    <row r="48" spans="1:28" x14ac:dyDescent="0.25">
      <c r="A48" s="16" t="s">
        <v>56</v>
      </c>
      <c r="B48" s="16">
        <f>2*15.999/B51</f>
        <v>0.32893019048304362</v>
      </c>
      <c r="C48" s="20">
        <f>B48</f>
        <v>0.32893019048304362</v>
      </c>
      <c r="G48" t="s">
        <v>391</v>
      </c>
      <c r="H48">
        <f>L54*H47</f>
        <v>41.480454275120579</v>
      </c>
      <c r="O48" t="s">
        <v>579</v>
      </c>
      <c r="P48" s="39" t="s">
        <v>578</v>
      </c>
      <c r="R48" t="s">
        <v>580</v>
      </c>
      <c r="S48" s="39" t="s">
        <v>578</v>
      </c>
    </row>
    <row r="49" spans="1:27" x14ac:dyDescent="0.25">
      <c r="A49" s="16" t="s">
        <v>64</v>
      </c>
      <c r="B49" s="16">
        <f>6.94/B51</f>
        <v>7.1341193885627943E-2</v>
      </c>
      <c r="C49" s="20">
        <f>B49</f>
        <v>7.1341193885627943E-2</v>
      </c>
      <c r="O49" s="39" t="s">
        <v>479</v>
      </c>
      <c r="P49" s="39">
        <f>P44</f>
        <v>11.828379037974562</v>
      </c>
      <c r="R49" s="39" t="s">
        <v>479</v>
      </c>
      <c r="S49" s="39">
        <f>W80*R62</f>
        <v>0.39453189693666729</v>
      </c>
      <c r="V49" s="1"/>
      <c r="W49" s="1" t="s">
        <v>561</v>
      </c>
    </row>
    <row r="50" spans="1:27" x14ac:dyDescent="0.25">
      <c r="O50" s="39" t="s">
        <v>480</v>
      </c>
      <c r="P50" s="39">
        <f>X45</f>
        <v>14.369544959905273</v>
      </c>
      <c r="R50" s="39" t="s">
        <v>480</v>
      </c>
      <c r="S50" s="39">
        <f>AB45</f>
        <v>2.3548215702546353</v>
      </c>
      <c r="T50">
        <f>R63*W80</f>
        <v>0.11304776497261934</v>
      </c>
      <c r="V50" s="1" t="s">
        <v>581</v>
      </c>
      <c r="W50" s="1"/>
    </row>
    <row r="51" spans="1:27" x14ac:dyDescent="0.25">
      <c r="A51" s="19" t="s">
        <v>80</v>
      </c>
      <c r="B51">
        <v>97.278999999999996</v>
      </c>
      <c r="F51" t="s">
        <v>393</v>
      </c>
      <c r="O51" s="39" t="s">
        <v>481</v>
      </c>
      <c r="P51" s="39">
        <f>Y45</f>
        <v>3.8598782602693391</v>
      </c>
      <c r="R51" s="39" t="s">
        <v>481</v>
      </c>
      <c r="S51" s="39">
        <f>$W$80*R64</f>
        <v>0.33931794854021069</v>
      </c>
      <c r="V51" s="1" t="s">
        <v>543</v>
      </c>
      <c r="W51" s="1">
        <v>27.504032158265019</v>
      </c>
    </row>
    <row r="52" spans="1:27" x14ac:dyDescent="0.25">
      <c r="A52" s="18" t="s">
        <v>491</v>
      </c>
      <c r="B52" s="23">
        <v>154.75</v>
      </c>
      <c r="C52" s="7">
        <f>58.69/B52</f>
        <v>0.37925686591276253</v>
      </c>
      <c r="F52" s="4" t="s">
        <v>395</v>
      </c>
      <c r="G52" s="4" t="s">
        <v>396</v>
      </c>
      <c r="H52" s="4" t="s">
        <v>397</v>
      </c>
      <c r="J52" s="3" t="s">
        <v>393</v>
      </c>
      <c r="O52" s="39" t="s">
        <v>482</v>
      </c>
      <c r="P52" s="39">
        <f>R44</f>
        <v>6.080857293616952</v>
      </c>
      <c r="R52" s="39" t="s">
        <v>482</v>
      </c>
      <c r="S52" s="39">
        <f>$W$80*R65</f>
        <v>0.15281417414961171</v>
      </c>
      <c r="V52" s="1" t="s">
        <v>544</v>
      </c>
      <c r="W52" s="1">
        <v>25.097184062039389</v>
      </c>
    </row>
    <row r="53" spans="1:27" x14ac:dyDescent="0.25">
      <c r="A53" s="18" t="s">
        <v>492</v>
      </c>
      <c r="B53">
        <v>154.99600000000001</v>
      </c>
      <c r="C53" s="7">
        <f>58.93/B53</f>
        <v>0.38020336008671191</v>
      </c>
      <c r="F53" t="s">
        <v>399</v>
      </c>
      <c r="G53" t="s">
        <v>400</v>
      </c>
      <c r="H53">
        <v>89.81</v>
      </c>
      <c r="J53" s="5" t="s">
        <v>401</v>
      </c>
      <c r="K53">
        <f>H58+H67+H73</f>
        <v>52.429999999999993</v>
      </c>
      <c r="O53" s="39" t="s">
        <v>483</v>
      </c>
      <c r="P53" s="39">
        <f>Q44</f>
        <v>7.4179064631834111</v>
      </c>
      <c r="R53" s="39" t="s">
        <v>483</v>
      </c>
      <c r="S53" s="39">
        <f>$W$80*R66</f>
        <v>1.220573350143801</v>
      </c>
      <c r="V53" s="1" t="s">
        <v>545</v>
      </c>
      <c r="W53" s="1">
        <v>7.7641146887570471</v>
      </c>
    </row>
    <row r="54" spans="1:27" x14ac:dyDescent="0.25">
      <c r="A54" s="18" t="s">
        <v>493</v>
      </c>
      <c r="B54">
        <v>151.001</v>
      </c>
      <c r="C54" s="7">
        <f>54.94/B54</f>
        <v>0.36383865007516503</v>
      </c>
      <c r="F54" t="s">
        <v>399</v>
      </c>
      <c r="G54" t="s">
        <v>403</v>
      </c>
      <c r="H54">
        <v>4.99</v>
      </c>
      <c r="J54" s="6" t="s">
        <v>391</v>
      </c>
      <c r="K54">
        <f>H67+H73</f>
        <v>40.98</v>
      </c>
      <c r="L54" s="7">
        <f>K54/K53</f>
        <v>0.78161358001144388</v>
      </c>
      <c r="M54" s="37"/>
      <c r="N54" s="7"/>
      <c r="O54" s="39" t="s">
        <v>484</v>
      </c>
      <c r="P54" s="39">
        <f>S44</f>
        <v>0.77574179219552686</v>
      </c>
      <c r="R54" s="39" t="s">
        <v>484</v>
      </c>
      <c r="S54" s="39">
        <f>$W$80*R67</f>
        <v>0.14886241257270916</v>
      </c>
      <c r="V54" s="1" t="s">
        <v>546</v>
      </c>
      <c r="W54" s="1">
        <v>17.731471289716179</v>
      </c>
    </row>
    <row r="55" spans="1:27" x14ac:dyDescent="0.25">
      <c r="A55" s="18" t="s">
        <v>494</v>
      </c>
      <c r="B55">
        <v>73.891000000000005</v>
      </c>
      <c r="C55" s="7">
        <f>2*6.941/B55</f>
        <v>0.18787132397720965</v>
      </c>
      <c r="F55" t="s">
        <v>399</v>
      </c>
      <c r="G55" t="s">
        <v>405</v>
      </c>
      <c r="H55">
        <v>64.599999999999994</v>
      </c>
      <c r="J55" s="6"/>
      <c r="O55" s="39" t="s">
        <v>434</v>
      </c>
      <c r="P55" s="39">
        <f>Z45</f>
        <v>2.969109246290909</v>
      </c>
      <c r="R55" s="39" t="s">
        <v>434</v>
      </c>
      <c r="S55" s="39">
        <f>AA45</f>
        <v>0.64811128394537409</v>
      </c>
      <c r="V55" s="1" t="s">
        <v>547</v>
      </c>
      <c r="W55" s="1">
        <v>4.0730299774050263</v>
      </c>
    </row>
    <row r="56" spans="1:27" x14ac:dyDescent="0.25">
      <c r="B56">
        <f>B49*C5</f>
        <v>7.7660329503626553</v>
      </c>
      <c r="F56" t="s">
        <v>399</v>
      </c>
      <c r="G56" t="s">
        <v>407</v>
      </c>
      <c r="H56">
        <v>6.31</v>
      </c>
      <c r="J56" s="8" t="s">
        <v>408</v>
      </c>
      <c r="V56" s="1" t="s">
        <v>582</v>
      </c>
      <c r="W56" s="1">
        <v>3830.9553205394682</v>
      </c>
    </row>
    <row r="57" spans="1:27" x14ac:dyDescent="0.25">
      <c r="F57" t="s">
        <v>399</v>
      </c>
      <c r="G57" t="s">
        <v>49</v>
      </c>
      <c r="H57">
        <v>20.059999999999999</v>
      </c>
      <c r="J57" s="6" t="s">
        <v>389</v>
      </c>
      <c r="K57">
        <v>45.5</v>
      </c>
      <c r="T57">
        <f>S49+S51+S52+S53+S54+T50</f>
        <v>2.3691475473156194</v>
      </c>
      <c r="V57" s="1" t="s">
        <v>583</v>
      </c>
      <c r="W57" s="1"/>
      <c r="Z57" s="24" t="s">
        <v>371</v>
      </c>
      <c r="AA57" s="24" t="s">
        <v>373</v>
      </c>
    </row>
    <row r="58" spans="1:27" x14ac:dyDescent="0.25">
      <c r="F58" t="s">
        <v>399</v>
      </c>
      <c r="G58" t="s">
        <v>65</v>
      </c>
      <c r="H58">
        <v>11.45</v>
      </c>
      <c r="J58" s="6" t="s">
        <v>391</v>
      </c>
      <c r="K58">
        <f>28.7+9.3</f>
        <v>38</v>
      </c>
      <c r="L58" s="7">
        <f>K58/K57</f>
        <v>0.8351648351648352</v>
      </c>
      <c r="M58" s="37"/>
      <c r="N58" s="7"/>
      <c r="V58" s="1" t="s">
        <v>552</v>
      </c>
      <c r="W58" s="1">
        <v>326.04792096444788</v>
      </c>
      <c r="Z58" s="24" t="s">
        <v>14</v>
      </c>
      <c r="AA58" s="1">
        <v>0</v>
      </c>
    </row>
    <row r="59" spans="1:27" x14ac:dyDescent="0.25">
      <c r="A59" t="s">
        <v>584</v>
      </c>
      <c r="B59" s="29" t="s">
        <v>585</v>
      </c>
      <c r="C59">
        <f>(0.8*58.693)+(0.1*58.933)+(0.1*54.938)+(2*15.999)+(2*1.008)</f>
        <v>92.355500000000006</v>
      </c>
      <c r="F59" t="s">
        <v>399</v>
      </c>
      <c r="G59" t="s">
        <v>412</v>
      </c>
      <c r="H59">
        <v>3.96</v>
      </c>
      <c r="O59" t="s">
        <v>504</v>
      </c>
      <c r="P59">
        <f>W45</f>
        <v>8.7726190088490323</v>
      </c>
      <c r="V59" s="1" t="s">
        <v>553</v>
      </c>
      <c r="W59" s="1">
        <v>1366.615946786859</v>
      </c>
      <c r="Z59" s="24" t="s">
        <v>27</v>
      </c>
      <c r="AA59" s="1">
        <v>0.95</v>
      </c>
    </row>
    <row r="60" spans="1:27" x14ac:dyDescent="0.25">
      <c r="A60" s="1"/>
      <c r="B60" s="1" t="s">
        <v>586</v>
      </c>
      <c r="F60" t="s">
        <v>399</v>
      </c>
      <c r="G60" t="s">
        <v>414</v>
      </c>
      <c r="H60">
        <v>11.05</v>
      </c>
      <c r="V60" s="1" t="s">
        <v>554</v>
      </c>
      <c r="W60" s="1">
        <v>2476.2725622966109</v>
      </c>
      <c r="Z60" s="24" t="s">
        <v>35</v>
      </c>
      <c r="AA60" s="1">
        <v>1</v>
      </c>
    </row>
    <row r="61" spans="1:27" x14ac:dyDescent="0.25">
      <c r="A61" s="1" t="s">
        <v>587</v>
      </c>
      <c r="B61" s="1">
        <v>0</v>
      </c>
      <c r="F61" t="s">
        <v>399</v>
      </c>
      <c r="G61" t="s">
        <v>416</v>
      </c>
      <c r="H61">
        <v>11.05</v>
      </c>
      <c r="O61" s="1" t="s">
        <v>476</v>
      </c>
      <c r="P61" s="1" t="s">
        <v>563</v>
      </c>
      <c r="Q61" t="s">
        <v>588</v>
      </c>
      <c r="R61" t="s">
        <v>589</v>
      </c>
      <c r="V61" s="1" t="s">
        <v>555</v>
      </c>
      <c r="W61" s="1">
        <v>227.20734286646561</v>
      </c>
      <c r="Z61" s="24" t="s">
        <v>42</v>
      </c>
      <c r="AA61" s="1">
        <v>0.96</v>
      </c>
    </row>
    <row r="62" spans="1:27" x14ac:dyDescent="0.25">
      <c r="A62" s="1" t="s">
        <v>590</v>
      </c>
      <c r="B62" s="1">
        <v>0</v>
      </c>
      <c r="F62" t="s">
        <v>399</v>
      </c>
      <c r="G62" t="s">
        <v>418</v>
      </c>
      <c r="H62">
        <v>2.1800000000000002</v>
      </c>
      <c r="O62" s="1" t="s">
        <v>479</v>
      </c>
      <c r="P62" s="1">
        <v>41.336978874459533</v>
      </c>
      <c r="Q62">
        <f>AA65*P62</f>
        <v>37.616650775758174</v>
      </c>
      <c r="R62" s="7">
        <f t="shared" ref="R62:R67" si="14">Q62/$Q$69</f>
        <v>0.16652905277414851</v>
      </c>
      <c r="S62">
        <f t="shared" ref="S62:S67" si="15">$Q$78*R62</f>
        <v>107.67149594062215</v>
      </c>
      <c r="T62">
        <f t="shared" ref="T62:T67" si="16">S62/Q62</f>
        <v>2.8623360591690528</v>
      </c>
      <c r="V62" s="1" t="s">
        <v>557</v>
      </c>
      <c r="W62" s="1">
        <v>162.82609335062</v>
      </c>
      <c r="Z62" s="24" t="s">
        <v>50</v>
      </c>
      <c r="AA62" s="1">
        <v>0.84</v>
      </c>
    </row>
    <row r="63" spans="1:27" x14ac:dyDescent="0.25">
      <c r="A63" s="1" t="s">
        <v>469</v>
      </c>
      <c r="B63" s="1">
        <v>1.340421615651967</v>
      </c>
      <c r="C63">
        <f>C80*B63</f>
        <v>138.53528519523013</v>
      </c>
      <c r="F63" t="s">
        <v>399</v>
      </c>
      <c r="G63" t="s">
        <v>420</v>
      </c>
      <c r="H63">
        <v>0.48</v>
      </c>
      <c r="O63" s="1" t="s">
        <v>480</v>
      </c>
      <c r="P63" s="1">
        <v>11.58982922035457</v>
      </c>
      <c r="Q63">
        <f>0.93*P63</f>
        <v>10.778541174929751</v>
      </c>
      <c r="R63" s="7">
        <f t="shared" si="14"/>
        <v>4.771664183630478E-2</v>
      </c>
      <c r="S63">
        <f t="shared" si="15"/>
        <v>30.851807070239797</v>
      </c>
      <c r="T63">
        <f t="shared" si="16"/>
        <v>2.8623360591690528</v>
      </c>
      <c r="V63" s="1" t="s">
        <v>559</v>
      </c>
      <c r="W63" s="1">
        <v>2777.983381364571</v>
      </c>
      <c r="Z63" s="32" t="s">
        <v>59</v>
      </c>
      <c r="AA63" s="1">
        <v>0.84</v>
      </c>
    </row>
    <row r="64" spans="1:27" x14ac:dyDescent="0.25">
      <c r="A64" s="1" t="s">
        <v>468</v>
      </c>
      <c r="B64" s="1">
        <v>0.16781255752011201</v>
      </c>
      <c r="F64" t="s">
        <v>399</v>
      </c>
      <c r="G64" t="s">
        <v>422</v>
      </c>
      <c r="H64">
        <v>0.56000000000000005</v>
      </c>
      <c r="O64" s="1" t="s">
        <v>481</v>
      </c>
      <c r="P64" s="1">
        <v>33.700287372436321</v>
      </c>
      <c r="Q64">
        <f>AA61*P64</f>
        <v>32.352275877538865</v>
      </c>
      <c r="R64" s="7">
        <f t="shared" si="14"/>
        <v>0.14322364553641984</v>
      </c>
      <c r="S64">
        <f t="shared" si="15"/>
        <v>92.603085840464601</v>
      </c>
      <c r="T64">
        <f t="shared" si="16"/>
        <v>2.8623360591690528</v>
      </c>
      <c r="V64" s="1" t="s">
        <v>560</v>
      </c>
      <c r="W64" s="1">
        <v>32.376451046548411</v>
      </c>
      <c r="Z64" s="24" t="s">
        <v>68</v>
      </c>
      <c r="AA64" s="1">
        <v>0.84</v>
      </c>
    </row>
    <row r="65" spans="1:27" x14ac:dyDescent="0.25">
      <c r="A65" s="1" t="s">
        <v>471</v>
      </c>
      <c r="B65" s="1">
        <v>0.16349245877499799</v>
      </c>
      <c r="F65" t="s">
        <v>399</v>
      </c>
      <c r="G65" t="s">
        <v>424</v>
      </c>
      <c r="H65">
        <v>226.49</v>
      </c>
      <c r="O65" s="1" t="s">
        <v>482</v>
      </c>
      <c r="P65" s="1">
        <v>17.345321630654819</v>
      </c>
      <c r="Q65">
        <f>AA62*P65</f>
        <v>14.570070169750048</v>
      </c>
      <c r="R65" s="7">
        <f t="shared" si="14"/>
        <v>6.4501754786340335E-2</v>
      </c>
      <c r="S65">
        <f t="shared" si="15"/>
        <v>41.704437231498929</v>
      </c>
      <c r="T65">
        <f t="shared" si="16"/>
        <v>2.8623360591690532</v>
      </c>
      <c r="V65" s="1" t="s">
        <v>562</v>
      </c>
      <c r="W65" s="1">
        <v>44.462474001873467</v>
      </c>
      <c r="Z65" s="24" t="s">
        <v>75</v>
      </c>
      <c r="AA65" s="1">
        <v>0.91</v>
      </c>
    </row>
    <row r="66" spans="1:27" x14ac:dyDescent="0.25">
      <c r="A66" s="1" t="s">
        <v>411</v>
      </c>
      <c r="B66" s="1">
        <v>0.88953599999999999</v>
      </c>
      <c r="F66" t="s">
        <v>426</v>
      </c>
      <c r="G66" t="s">
        <v>49</v>
      </c>
      <c r="H66">
        <v>0.43</v>
      </c>
      <c r="O66" s="1" t="s">
        <v>483</v>
      </c>
      <c r="P66" s="1">
        <v>138.54236656949459</v>
      </c>
      <c r="Q66">
        <f>AA63*P66</f>
        <v>116.37558791837544</v>
      </c>
      <c r="R66" s="7">
        <f t="shared" si="14"/>
        <v>0.51519516018611033</v>
      </c>
      <c r="S66">
        <f t="shared" si="15"/>
        <v>333.10604170576443</v>
      </c>
      <c r="T66">
        <f t="shared" si="16"/>
        <v>2.8623360591690532</v>
      </c>
      <c r="V66" s="1" t="s">
        <v>564</v>
      </c>
      <c r="W66" s="1">
        <v>4379.1251089396292</v>
      </c>
      <c r="Z66" s="42" t="s">
        <v>504</v>
      </c>
      <c r="AA66" s="25">
        <v>0.9</v>
      </c>
    </row>
    <row r="67" spans="1:27" x14ac:dyDescent="0.25">
      <c r="A67" s="1" t="s">
        <v>591</v>
      </c>
      <c r="B67" s="1">
        <v>0.123529411764706</v>
      </c>
      <c r="F67" t="s">
        <v>426</v>
      </c>
      <c r="G67" t="s">
        <v>65</v>
      </c>
      <c r="H67">
        <v>11.42</v>
      </c>
      <c r="O67" s="1" t="s">
        <v>484</v>
      </c>
      <c r="P67" s="1">
        <v>16.89677308507337</v>
      </c>
      <c r="Q67">
        <f>AA64*P67</f>
        <v>14.193289391461631</v>
      </c>
      <c r="R67" s="7">
        <f t="shared" si="14"/>
        <v>6.2833744880676112E-2</v>
      </c>
      <c r="S67">
        <f t="shared" si="15"/>
        <v>40.625964023402211</v>
      </c>
      <c r="T67">
        <f t="shared" si="16"/>
        <v>2.8623360591690532</v>
      </c>
      <c r="V67" s="1" t="s">
        <v>566</v>
      </c>
      <c r="W67" s="1">
        <v>40.320069236319092</v>
      </c>
    </row>
    <row r="68" spans="1:27" x14ac:dyDescent="0.25">
      <c r="A68" s="1" t="s">
        <v>592</v>
      </c>
      <c r="B68" s="1">
        <v>0</v>
      </c>
      <c r="F68" t="s">
        <v>426</v>
      </c>
      <c r="G68" t="s">
        <v>420</v>
      </c>
      <c r="H68">
        <v>0.13</v>
      </c>
      <c r="O68" s="43" t="s">
        <v>504</v>
      </c>
      <c r="P68" s="43">
        <v>76.033808311023435</v>
      </c>
      <c r="Q68" s="44">
        <f>AA65*P68</f>
        <v>69.190765563031334</v>
      </c>
      <c r="V68" s="1" t="s">
        <v>567</v>
      </c>
      <c r="W68" s="1">
        <v>2004217.635051982</v>
      </c>
    </row>
    <row r="69" spans="1:27" x14ac:dyDescent="0.25">
      <c r="A69" s="1" t="s">
        <v>593</v>
      </c>
      <c r="B69" s="1">
        <v>0</v>
      </c>
      <c r="F69" t="s">
        <v>426</v>
      </c>
      <c r="G69" t="s">
        <v>430</v>
      </c>
      <c r="H69">
        <v>0.11</v>
      </c>
      <c r="O69" s="1" t="s">
        <v>487</v>
      </c>
      <c r="P69" s="1">
        <v>335.44536506349669</v>
      </c>
      <c r="Q69">
        <f>SUM(Q62:Q67)</f>
        <v>225.88641530781393</v>
      </c>
      <c r="V69" s="1" t="s">
        <v>569</v>
      </c>
      <c r="W69" s="1">
        <v>2007381.3570839381</v>
      </c>
    </row>
    <row r="70" spans="1:27" x14ac:dyDescent="0.25">
      <c r="A70" s="1" t="s">
        <v>594</v>
      </c>
      <c r="B70" s="1">
        <v>0</v>
      </c>
      <c r="F70" t="s">
        <v>426</v>
      </c>
      <c r="G70" t="s">
        <v>431</v>
      </c>
      <c r="H70">
        <v>1.1200000000000001</v>
      </c>
      <c r="U70" s="38" t="s">
        <v>577</v>
      </c>
      <c r="V70" s="39" t="s">
        <v>572</v>
      </c>
      <c r="W70" s="39">
        <v>2148886.664231854</v>
      </c>
    </row>
    <row r="71" spans="1:27" x14ac:dyDescent="0.25">
      <c r="A71" s="1" t="s">
        <v>595</v>
      </c>
      <c r="B71" s="1">
        <v>0</v>
      </c>
      <c r="F71" t="s">
        <v>426</v>
      </c>
      <c r="G71" t="s">
        <v>432</v>
      </c>
      <c r="H71">
        <v>13.2</v>
      </c>
      <c r="O71" s="1" t="s">
        <v>21</v>
      </c>
      <c r="P71" s="1">
        <f>P63</f>
        <v>11.58982922035457</v>
      </c>
      <c r="R71" s="39" t="s">
        <v>596</v>
      </c>
      <c r="V71" s="1" t="s">
        <v>597</v>
      </c>
      <c r="W71" s="1"/>
    </row>
    <row r="72" spans="1:27" x14ac:dyDescent="0.25">
      <c r="F72" t="s">
        <v>433</v>
      </c>
      <c r="G72" t="s">
        <v>49</v>
      </c>
      <c r="H72">
        <v>0.09</v>
      </c>
      <c r="O72" s="1" t="s">
        <v>31</v>
      </c>
      <c r="P72" s="1">
        <v>6.5947495657596882</v>
      </c>
      <c r="R72">
        <f>Q78/Q69</f>
        <v>2.8623360591690528</v>
      </c>
      <c r="V72" s="1" t="s">
        <v>552</v>
      </c>
      <c r="W72" s="1">
        <v>0</v>
      </c>
    </row>
    <row r="73" spans="1:27" x14ac:dyDescent="0.25">
      <c r="F73" t="s">
        <v>433</v>
      </c>
      <c r="G73" t="s">
        <v>65</v>
      </c>
      <c r="H73">
        <v>29.56</v>
      </c>
      <c r="O73" s="1" t="s">
        <v>39</v>
      </c>
      <c r="P73" s="1">
        <v>33.700287372436321</v>
      </c>
      <c r="V73" s="1" t="s">
        <v>553</v>
      </c>
      <c r="W73" s="1">
        <v>0</v>
      </c>
    </row>
    <row r="74" spans="1:27" x14ac:dyDescent="0.25">
      <c r="F74" t="s">
        <v>433</v>
      </c>
      <c r="G74" t="s">
        <v>434</v>
      </c>
      <c r="H74">
        <v>1.78</v>
      </c>
      <c r="O74" s="1" t="s">
        <v>55</v>
      </c>
      <c r="P74" s="1">
        <v>7.7660329503626562</v>
      </c>
      <c r="V74" s="1" t="s">
        <v>576</v>
      </c>
      <c r="W74" s="1">
        <v>0</v>
      </c>
    </row>
    <row r="75" spans="1:27" x14ac:dyDescent="0.25">
      <c r="A75" t="s">
        <v>392</v>
      </c>
      <c r="F75" t="s">
        <v>433</v>
      </c>
      <c r="G75" t="s">
        <v>430</v>
      </c>
      <c r="H75">
        <v>0.94</v>
      </c>
      <c r="O75" s="1" t="s">
        <v>63</v>
      </c>
      <c r="P75" s="1">
        <v>6.1476991098994764</v>
      </c>
      <c r="V75" s="1" t="s">
        <v>555</v>
      </c>
      <c r="W75" s="1">
        <v>0</v>
      </c>
    </row>
    <row r="76" spans="1:27" x14ac:dyDescent="0.25">
      <c r="B76" t="s">
        <v>394</v>
      </c>
      <c r="F76" t="s">
        <v>433</v>
      </c>
      <c r="G76" t="s">
        <v>435</v>
      </c>
      <c r="H76">
        <v>8.4700000000000006</v>
      </c>
      <c r="O76" s="1" t="s">
        <v>72</v>
      </c>
      <c r="P76" s="1">
        <v>52.543143741283608</v>
      </c>
      <c r="V76" s="1" t="s">
        <v>557</v>
      </c>
      <c r="W76" s="1">
        <v>0</v>
      </c>
    </row>
    <row r="77" spans="1:27" x14ac:dyDescent="0.25">
      <c r="A77" t="s">
        <v>398</v>
      </c>
      <c r="B77">
        <v>0</v>
      </c>
      <c r="F77" t="s">
        <v>433</v>
      </c>
      <c r="G77" t="s">
        <v>431</v>
      </c>
      <c r="H77">
        <v>4.22</v>
      </c>
      <c r="O77" s="1" t="s">
        <v>598</v>
      </c>
      <c r="P77" s="1">
        <f>SUM(P71:P76)</f>
        <v>118.34174196009633</v>
      </c>
      <c r="V77" s="1" t="s">
        <v>559</v>
      </c>
      <c r="W77" s="1">
        <v>0</v>
      </c>
    </row>
    <row r="78" spans="1:27" x14ac:dyDescent="0.25">
      <c r="A78" t="s">
        <v>402</v>
      </c>
      <c r="B78">
        <v>0</v>
      </c>
      <c r="F78" t="s">
        <v>433</v>
      </c>
      <c r="G78" t="s">
        <v>436</v>
      </c>
      <c r="H78">
        <v>45.06</v>
      </c>
      <c r="O78" s="1" t="s">
        <v>599</v>
      </c>
      <c r="P78" s="1">
        <f>C28</f>
        <v>272.90948279881729</v>
      </c>
      <c r="Q78" s="13">
        <f>P78*W80</f>
        <v>646.56283181199217</v>
      </c>
      <c r="R78" t="s">
        <v>600</v>
      </c>
      <c r="V78" s="1" t="s">
        <v>560</v>
      </c>
      <c r="W78" s="1">
        <v>0</v>
      </c>
    </row>
    <row r="79" spans="1:27" x14ac:dyDescent="0.25">
      <c r="A79" t="s">
        <v>404</v>
      </c>
      <c r="B79">
        <v>0</v>
      </c>
      <c r="F79" t="s">
        <v>488</v>
      </c>
      <c r="G79" t="s">
        <v>489</v>
      </c>
      <c r="H79">
        <v>284.75</v>
      </c>
      <c r="V79" s="1" t="s">
        <v>562</v>
      </c>
      <c r="W79" s="1">
        <v>0</v>
      </c>
    </row>
    <row r="80" spans="1:27" x14ac:dyDescent="0.25">
      <c r="A80" t="s">
        <v>406</v>
      </c>
      <c r="B80">
        <v>0.94942382220211996</v>
      </c>
      <c r="C80">
        <f>B80*C5</f>
        <v>103.35202266030903</v>
      </c>
      <c r="V80" s="39" t="s">
        <v>601</v>
      </c>
      <c r="W80" s="39">
        <f>W70/2000*2.205/1000</f>
        <v>2.3691475473156194</v>
      </c>
    </row>
    <row r="81" spans="1:18" x14ac:dyDescent="0.25">
      <c r="A81" t="s">
        <v>409</v>
      </c>
      <c r="B81">
        <v>0</v>
      </c>
    </row>
    <row r="82" spans="1:18" x14ac:dyDescent="0.25">
      <c r="A82" t="s">
        <v>410</v>
      </c>
      <c r="B82">
        <v>0</v>
      </c>
      <c r="O82" t="s">
        <v>602</v>
      </c>
    </row>
    <row r="83" spans="1:18" x14ac:dyDescent="0.25">
      <c r="A83" t="s">
        <v>411</v>
      </c>
      <c r="B83">
        <v>0</v>
      </c>
      <c r="O83" t="s">
        <v>603</v>
      </c>
    </row>
    <row r="84" spans="1:18" x14ac:dyDescent="0.25">
      <c r="A84" t="s">
        <v>413</v>
      </c>
      <c r="B84">
        <v>0.246199076881958</v>
      </c>
      <c r="O84" s="1"/>
      <c r="P84" s="1" t="s">
        <v>604</v>
      </c>
      <c r="Q84" s="1" t="s">
        <v>605</v>
      </c>
      <c r="R84" s="1" t="s">
        <v>606</v>
      </c>
    </row>
    <row r="85" spans="1:18" x14ac:dyDescent="0.25">
      <c r="A85" t="s">
        <v>415</v>
      </c>
      <c r="B85">
        <v>0</v>
      </c>
      <c r="O85" s="1" t="s">
        <v>434</v>
      </c>
      <c r="P85" s="36">
        <v>0.73599999999999999</v>
      </c>
      <c r="Q85" s="36">
        <v>0.26400000000000001</v>
      </c>
      <c r="R85" s="36">
        <v>0</v>
      </c>
    </row>
    <row r="86" spans="1:18" x14ac:dyDescent="0.25">
      <c r="A86" t="s">
        <v>417</v>
      </c>
      <c r="B86">
        <v>0</v>
      </c>
      <c r="O86" s="1" t="s">
        <v>607</v>
      </c>
      <c r="P86" s="36">
        <v>0.39019999999999999</v>
      </c>
      <c r="Q86" s="36">
        <v>0.2989</v>
      </c>
      <c r="R86" s="36">
        <v>0.31090000000000001</v>
      </c>
    </row>
    <row r="87" spans="1:18" x14ac:dyDescent="0.25">
      <c r="A87" t="s">
        <v>419</v>
      </c>
      <c r="B87">
        <v>0</v>
      </c>
      <c r="O87" s="1" t="s">
        <v>608</v>
      </c>
      <c r="P87" s="36">
        <v>0.20300000000000001</v>
      </c>
      <c r="Q87" s="36">
        <v>0.2319</v>
      </c>
      <c r="R87" s="36">
        <v>0.56509999999999994</v>
      </c>
    </row>
    <row r="88" spans="1:18" x14ac:dyDescent="0.25">
      <c r="A88" t="s">
        <v>421</v>
      </c>
      <c r="B88">
        <v>0</v>
      </c>
      <c r="O88" s="1" t="s">
        <v>609</v>
      </c>
      <c r="P88" s="36">
        <v>0.20300000000000001</v>
      </c>
      <c r="Q88" s="36">
        <v>0.2319</v>
      </c>
      <c r="R88" s="36">
        <v>0.56509999999999994</v>
      </c>
    </row>
    <row r="89" spans="1:18" x14ac:dyDescent="0.25">
      <c r="A89" t="s">
        <v>423</v>
      </c>
      <c r="B89">
        <v>0</v>
      </c>
      <c r="O89" s="1" t="s">
        <v>610</v>
      </c>
      <c r="P89" s="36">
        <v>0.26829999999999998</v>
      </c>
      <c r="Q89" s="36">
        <v>0.16200000000000001</v>
      </c>
      <c r="R89" s="36">
        <v>0.56969999999999998</v>
      </c>
    </row>
    <row r="90" spans="1:18" x14ac:dyDescent="0.25">
      <c r="A90" t="s">
        <v>425</v>
      </c>
      <c r="B90">
        <v>0</v>
      </c>
      <c r="O90" s="1" t="s">
        <v>611</v>
      </c>
      <c r="P90" s="36">
        <v>0.50419999999999998</v>
      </c>
      <c r="Q90" s="36">
        <v>0</v>
      </c>
      <c r="R90" s="36">
        <v>0.49580000000000002</v>
      </c>
    </row>
    <row r="91" spans="1:18" x14ac:dyDescent="0.25">
      <c r="A91" t="s">
        <v>427</v>
      </c>
      <c r="B91">
        <v>0</v>
      </c>
      <c r="O91" s="1" t="s">
        <v>612</v>
      </c>
      <c r="P91" s="36">
        <v>0.2</v>
      </c>
      <c r="Q91" s="36">
        <v>0.8</v>
      </c>
      <c r="R91" s="36">
        <v>0</v>
      </c>
    </row>
    <row r="92" spans="1:18" x14ac:dyDescent="0.25">
      <c r="A92" t="s">
        <v>428</v>
      </c>
      <c r="B92">
        <v>7.0000000000000001E-3</v>
      </c>
      <c r="O92" s="1" t="s">
        <v>613</v>
      </c>
      <c r="P92" s="36">
        <v>0</v>
      </c>
      <c r="Q92" s="36">
        <v>1</v>
      </c>
      <c r="R92" s="36">
        <v>0</v>
      </c>
    </row>
    <row r="93" spans="1:18" x14ac:dyDescent="0.25">
      <c r="A93" t="s">
        <v>429</v>
      </c>
      <c r="B93">
        <v>0</v>
      </c>
      <c r="O93" s="1" t="s">
        <v>41</v>
      </c>
      <c r="P93" s="36">
        <v>0.56000000000000005</v>
      </c>
      <c r="Q93" s="36">
        <v>0.43999999999999989</v>
      </c>
      <c r="R93" s="36">
        <v>0</v>
      </c>
    </row>
    <row r="94" spans="1:18" x14ac:dyDescent="0.25">
      <c r="O94" s="1" t="s">
        <v>614</v>
      </c>
      <c r="P94" s="36">
        <v>0.47899999999999998</v>
      </c>
      <c r="Q94" s="36">
        <v>0.52100000000000002</v>
      </c>
      <c r="R94" s="36">
        <v>0</v>
      </c>
    </row>
    <row r="96" spans="1:18" x14ac:dyDescent="0.25">
      <c r="O96" t="s">
        <v>615</v>
      </c>
    </row>
    <row r="97" spans="1:16" x14ac:dyDescent="0.25">
      <c r="A97" s="1"/>
      <c r="B97" s="1"/>
      <c r="C97" s="1"/>
      <c r="O97" s="1"/>
      <c r="P97" s="1" t="s">
        <v>616</v>
      </c>
    </row>
    <row r="98" spans="1:16" x14ac:dyDescent="0.25">
      <c r="A98" s="14" t="s">
        <v>22</v>
      </c>
      <c r="B98" s="14" t="s">
        <v>23</v>
      </c>
      <c r="C98" s="14" t="s">
        <v>24</v>
      </c>
      <c r="O98" s="1" t="s">
        <v>434</v>
      </c>
      <c r="P98" s="36">
        <v>0.96</v>
      </c>
    </row>
    <row r="99" spans="1:16" x14ac:dyDescent="0.25">
      <c r="A99" s="16" t="s">
        <v>32</v>
      </c>
      <c r="B99" s="16">
        <f>0.8*58.693/B105</f>
        <v>0.50840935298926426</v>
      </c>
      <c r="C99" s="17">
        <v>0.50800000000000001</v>
      </c>
      <c r="O99" s="1" t="s">
        <v>607</v>
      </c>
      <c r="P99" s="36">
        <v>0.91</v>
      </c>
    </row>
    <row r="100" spans="1:16" x14ac:dyDescent="0.25">
      <c r="A100" s="16" t="s">
        <v>40</v>
      </c>
      <c r="B100" s="16">
        <f>0.1*58.933/B105</f>
        <v>6.3811034535030398E-2</v>
      </c>
      <c r="C100" s="17">
        <v>6.4000000000000001E-2</v>
      </c>
      <c r="O100" s="1" t="s">
        <v>608</v>
      </c>
      <c r="P100" s="36">
        <v>0.91</v>
      </c>
    </row>
    <row r="101" spans="1:16" x14ac:dyDescent="0.25">
      <c r="A101" s="16" t="s">
        <v>48</v>
      </c>
      <c r="B101" s="16">
        <f>0.1*54.938/B105</f>
        <v>5.9485358208227986E-2</v>
      </c>
      <c r="C101" s="17">
        <v>0.06</v>
      </c>
      <c r="O101" s="1" t="s">
        <v>609</v>
      </c>
      <c r="P101" s="36">
        <v>0.91</v>
      </c>
    </row>
    <row r="102" spans="1:16" x14ac:dyDescent="0.25">
      <c r="A102" s="16" t="s">
        <v>56</v>
      </c>
      <c r="B102" s="16">
        <f>2*15.999/B105</f>
        <v>0.34646555971219906</v>
      </c>
      <c r="C102" s="17">
        <v>0.34699999999999998</v>
      </c>
      <c r="O102" s="1" t="s">
        <v>610</v>
      </c>
      <c r="P102" s="36">
        <v>0.91</v>
      </c>
    </row>
    <row r="103" spans="1:16" x14ac:dyDescent="0.25">
      <c r="A103" s="16" t="s">
        <v>383</v>
      </c>
      <c r="B103" s="16">
        <f>2*1.008/B105</f>
        <v>2.1828694555278243E-2</v>
      </c>
      <c r="C103" s="17">
        <v>2.1999999999999999E-2</v>
      </c>
      <c r="O103" s="1" t="s">
        <v>611</v>
      </c>
      <c r="P103" s="36">
        <v>0.91</v>
      </c>
    </row>
    <row r="104" spans="1:16" x14ac:dyDescent="0.25">
      <c r="O104" s="1" t="s">
        <v>612</v>
      </c>
      <c r="P104" s="36">
        <v>0.91</v>
      </c>
    </row>
    <row r="105" spans="1:16" x14ac:dyDescent="0.25">
      <c r="A105" s="19" t="s">
        <v>384</v>
      </c>
      <c r="B105">
        <f>(0.8*58.693)+(0.1*58.933)+(0.1*54.938)+(2*15.999)+(2*1.008)</f>
        <v>92.355500000000006</v>
      </c>
      <c r="O105" s="1" t="s">
        <v>613</v>
      </c>
      <c r="P105" s="36">
        <v>0.99</v>
      </c>
    </row>
    <row r="106" spans="1:16" x14ac:dyDescent="0.25">
      <c r="O106" s="1" t="s">
        <v>41</v>
      </c>
      <c r="P106" s="36">
        <v>0.8</v>
      </c>
    </row>
    <row r="107" spans="1:16" x14ac:dyDescent="0.25">
      <c r="O107" s="1" t="s">
        <v>614</v>
      </c>
      <c r="P107" s="36">
        <v>0.7</v>
      </c>
    </row>
    <row r="114" spans="16:17" x14ac:dyDescent="0.25">
      <c r="P114" s="1" t="s">
        <v>617</v>
      </c>
      <c r="Q114" s="1"/>
    </row>
    <row r="115" spans="16:17" x14ac:dyDescent="0.25">
      <c r="P115" s="1" t="s">
        <v>618</v>
      </c>
      <c r="Q115" s="1"/>
    </row>
    <row r="116" spans="16:17" x14ac:dyDescent="0.25">
      <c r="P116" s="1" t="s">
        <v>619</v>
      </c>
      <c r="Q116" s="1" t="s">
        <v>620</v>
      </c>
    </row>
    <row r="117" spans="16:17" x14ac:dyDescent="0.25">
      <c r="P117" s="1" t="s">
        <v>621</v>
      </c>
      <c r="Q117" s="1">
        <v>100</v>
      </c>
    </row>
    <row r="118" spans="16:17" x14ac:dyDescent="0.25">
      <c r="P118" s="1" t="s">
        <v>622</v>
      </c>
      <c r="Q118" s="1">
        <v>1</v>
      </c>
    </row>
    <row r="119" spans="16:17" x14ac:dyDescent="0.25">
      <c r="P119" s="1" t="s">
        <v>623</v>
      </c>
      <c r="Q119" s="1">
        <v>29.8</v>
      </c>
    </row>
    <row r="120" spans="16:17" x14ac:dyDescent="0.25">
      <c r="P120" s="1" t="s">
        <v>624</v>
      </c>
      <c r="Q120" s="1">
        <v>273</v>
      </c>
    </row>
    <row r="121" spans="16:17" x14ac:dyDescent="0.25">
      <c r="P121" s="1"/>
      <c r="Q121" s="1"/>
    </row>
    <row r="122" spans="16:17" x14ac:dyDescent="0.25">
      <c r="P122" s="1" t="s">
        <v>625</v>
      </c>
      <c r="Q122" s="1"/>
    </row>
    <row r="123" spans="16:17" x14ac:dyDescent="0.25">
      <c r="P123" s="1" t="s">
        <v>626</v>
      </c>
      <c r="Q123" s="1">
        <v>0</v>
      </c>
    </row>
    <row r="124" spans="16:17" x14ac:dyDescent="0.25">
      <c r="P124" s="1" t="s">
        <v>627</v>
      </c>
      <c r="Q124" s="1">
        <v>0</v>
      </c>
    </row>
    <row r="125" spans="16:17" x14ac:dyDescent="0.25">
      <c r="P125" s="1" t="s">
        <v>628</v>
      </c>
      <c r="Q125" s="1">
        <v>0</v>
      </c>
    </row>
    <row r="126" spans="16:17" x14ac:dyDescent="0.25">
      <c r="P126" s="1" t="s">
        <v>629</v>
      </c>
      <c r="Q126" s="1">
        <v>0</v>
      </c>
    </row>
    <row r="127" spans="16:17" x14ac:dyDescent="0.25">
      <c r="P127" s="1" t="s">
        <v>630</v>
      </c>
      <c r="Q127" s="1">
        <v>0</v>
      </c>
    </row>
    <row r="130" spans="15:28" x14ac:dyDescent="0.25">
      <c r="P130" t="s">
        <v>631</v>
      </c>
    </row>
    <row r="134" spans="15:28" x14ac:dyDescent="0.25">
      <c r="O134" s="59"/>
      <c r="P134" s="59" t="s">
        <v>632</v>
      </c>
      <c r="Q134" s="59" t="s">
        <v>633</v>
      </c>
      <c r="R134" s="59" t="s">
        <v>634</v>
      </c>
      <c r="S134" s="59" t="s">
        <v>635</v>
      </c>
      <c r="T134" s="57" t="s">
        <v>475</v>
      </c>
      <c r="AB134" s="28"/>
    </row>
    <row r="135" spans="15:28" x14ac:dyDescent="0.25">
      <c r="O135" s="59" t="s">
        <v>636</v>
      </c>
      <c r="P135" s="60">
        <f t="shared" ref="P135:P141" si="17">Q3/P3</f>
        <v>0.1</v>
      </c>
      <c r="Q135" s="60">
        <f>S3/R3</f>
        <v>0.90000000000000013</v>
      </c>
      <c r="R135" s="61">
        <v>11.82837903797456</v>
      </c>
      <c r="S135" s="89">
        <v>2.3691475473156189</v>
      </c>
      <c r="T135" s="85" t="s">
        <v>637</v>
      </c>
      <c r="AB135" s="28"/>
    </row>
    <row r="136" spans="15:28" x14ac:dyDescent="0.25">
      <c r="O136" s="59" t="s">
        <v>49</v>
      </c>
      <c r="P136" s="60">
        <f t="shared" si="17"/>
        <v>0.5</v>
      </c>
      <c r="Q136" s="60">
        <f>S5/R5</f>
        <v>0.9</v>
      </c>
      <c r="R136" s="61">
        <v>3.85987826026934</v>
      </c>
      <c r="S136" s="83"/>
      <c r="T136" s="83"/>
      <c r="AB136" s="28"/>
    </row>
    <row r="137" spans="15:28" x14ac:dyDescent="0.25">
      <c r="O137" s="59" t="s">
        <v>638</v>
      </c>
      <c r="P137" s="60">
        <f t="shared" si="17"/>
        <v>0.32</v>
      </c>
      <c r="Q137" s="60">
        <f>S6/R6</f>
        <v>0.9</v>
      </c>
      <c r="R137" s="61">
        <v>6.080857293616952</v>
      </c>
      <c r="S137" s="83"/>
      <c r="T137" s="83"/>
      <c r="AB137" s="28"/>
    </row>
    <row r="138" spans="15:28" x14ac:dyDescent="0.25">
      <c r="O138" s="59" t="s">
        <v>639</v>
      </c>
      <c r="P138" s="60">
        <f t="shared" si="17"/>
        <v>0.1</v>
      </c>
      <c r="Q138" s="60">
        <f>S7/R7</f>
        <v>0.9</v>
      </c>
      <c r="R138" s="61">
        <v>7.4179064631834111</v>
      </c>
      <c r="S138" s="83"/>
      <c r="T138" s="83"/>
      <c r="AB138" s="28"/>
    </row>
    <row r="139" spans="15:28" x14ac:dyDescent="0.25">
      <c r="O139" s="59" t="s">
        <v>640</v>
      </c>
      <c r="P139" s="60">
        <f t="shared" si="17"/>
        <v>0.1</v>
      </c>
      <c r="Q139" s="60">
        <f>S8/R8</f>
        <v>0.9</v>
      </c>
      <c r="R139" s="61">
        <v>0.77574179219552686</v>
      </c>
      <c r="S139" s="84"/>
      <c r="T139" s="83"/>
      <c r="AB139" s="28"/>
    </row>
    <row r="140" spans="15:28" x14ac:dyDescent="0.25">
      <c r="O140" s="59" t="s">
        <v>434</v>
      </c>
      <c r="P140" s="60">
        <f t="shared" si="17"/>
        <v>0.1</v>
      </c>
      <c r="Q140" s="60">
        <f>S9/R9</f>
        <v>0.9</v>
      </c>
      <c r="R140" s="61">
        <v>2.9691092462909099</v>
      </c>
      <c r="S140" s="61">
        <f>S55</f>
        <v>0.64811128394537409</v>
      </c>
      <c r="T140" s="84"/>
      <c r="AB140" s="28"/>
    </row>
    <row r="141" spans="15:28" x14ac:dyDescent="0.25">
      <c r="O141" s="59" t="s">
        <v>65</v>
      </c>
      <c r="P141" s="60">
        <f t="shared" si="17"/>
        <v>0.26</v>
      </c>
      <c r="Q141" s="60">
        <f>S4/R4</f>
        <v>0.9</v>
      </c>
      <c r="R141" s="61">
        <v>14.369544959905269</v>
      </c>
      <c r="S141" s="61">
        <f>S50</f>
        <v>2.3548215702546353</v>
      </c>
      <c r="T141" s="1"/>
      <c r="AB141" s="28"/>
    </row>
    <row r="142" spans="15:28" x14ac:dyDescent="0.25">
      <c r="T142" s="1"/>
    </row>
  </sheetData>
  <mergeCells count="3">
    <mergeCell ref="S135:S139"/>
    <mergeCell ref="T135:T140"/>
    <mergeCell ref="A28:B28"/>
  </mergeCells>
  <hyperlinks>
    <hyperlink ref="Q12" r:id="rId1" xr:uid="{00000000-0004-0000-0300-000000000000}"/>
  </hyperlinks>
  <pageMargins left="0.7" right="0.7" top="0.75" bottom="0.75" header="0.3" footer="0.3"/>
  <pageSetup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100"/>
  <sheetViews>
    <sheetView topLeftCell="A11" workbookViewId="0">
      <selection activeCell="S8" sqref="S8"/>
    </sheetView>
  </sheetViews>
  <sheetFormatPr defaultRowHeight="15" x14ac:dyDescent="0.25"/>
  <cols>
    <col min="1" max="1" width="34.140625" bestFit="1" customWidth="1"/>
    <col min="3" max="3" width="32.7109375" bestFit="1" customWidth="1"/>
    <col min="5" max="5" width="14.85546875" bestFit="1" customWidth="1"/>
    <col min="6" max="6" width="12" bestFit="1" customWidth="1"/>
    <col min="8" max="8" width="34.7109375" bestFit="1" customWidth="1"/>
    <col min="9" max="9" width="20.28515625" customWidth="1"/>
    <col min="10" max="10" width="10.28515625" bestFit="1" customWidth="1"/>
    <col min="13" max="13" width="12.7109375" bestFit="1" customWidth="1"/>
    <col min="15" max="15" width="9.7109375" bestFit="1" customWidth="1"/>
    <col min="19" max="19" width="9.85546875" bestFit="1" customWidth="1"/>
    <col min="20" max="20" width="9.85546875" customWidth="1"/>
    <col min="21" max="21" width="9.85546875" style="28" customWidth="1"/>
    <col min="24" max="24" width="19.85546875" bestFit="1" customWidth="1"/>
    <col min="25" max="25" width="10.5703125" bestFit="1" customWidth="1"/>
    <col min="31" max="31" width="11.85546875" bestFit="1" customWidth="1"/>
    <col min="34" max="34" width="17" customWidth="1"/>
    <col min="35" max="35" width="9.140625" style="28" customWidth="1"/>
    <col min="38" max="38" width="24.42578125" bestFit="1" customWidth="1"/>
    <col min="40" max="40" width="10.5703125" bestFit="1" customWidth="1"/>
    <col min="42" max="42" width="39.28515625" bestFit="1" customWidth="1"/>
    <col min="43" max="43" width="16.42578125" bestFit="1" customWidth="1"/>
    <col min="44" max="44" width="50.42578125" customWidth="1"/>
    <col min="47" max="47" width="16.7109375" bestFit="1" customWidth="1"/>
    <col min="50" max="50" width="16.140625" bestFit="1" customWidth="1"/>
  </cols>
  <sheetData>
    <row r="1" spans="1:44" x14ac:dyDescent="0.25">
      <c r="L1" t="s">
        <v>0</v>
      </c>
      <c r="M1" t="s">
        <v>1</v>
      </c>
      <c r="N1">
        <f>SUM(ECPI_indicator!Q3:Q9)</f>
        <v>84.675778412390954</v>
      </c>
      <c r="O1" t="s">
        <v>2</v>
      </c>
      <c r="P1">
        <f>N1/N2</f>
        <v>0.26795929818755548</v>
      </c>
    </row>
    <row r="2" spans="1:44" x14ac:dyDescent="0.25">
      <c r="A2" t="s">
        <v>3</v>
      </c>
      <c r="M2" t="s">
        <v>4</v>
      </c>
      <c r="N2">
        <f>SUM(ECPI_indicator!P3:P9)-SUM(ECPI_indicator!Q3:Q9)</f>
        <v>316.00238911330098</v>
      </c>
      <c r="O2" t="s">
        <v>2</v>
      </c>
      <c r="W2" t="s">
        <v>5</v>
      </c>
      <c r="AB2" t="s">
        <v>6</v>
      </c>
      <c r="AK2" t="s">
        <v>7</v>
      </c>
    </row>
    <row r="3" spans="1:44" x14ac:dyDescent="0.25">
      <c r="A3" s="1"/>
      <c r="B3" s="1" t="s">
        <v>8</v>
      </c>
      <c r="C3" s="2" t="s">
        <v>8</v>
      </c>
      <c r="F3" t="s">
        <v>2</v>
      </c>
      <c r="L3" t="s">
        <v>9</v>
      </c>
      <c r="N3" t="s">
        <v>10</v>
      </c>
      <c r="O3" t="s">
        <v>11</v>
      </c>
      <c r="P3" t="s">
        <v>12</v>
      </c>
      <c r="X3" t="s">
        <v>13</v>
      </c>
      <c r="Y3" s="46">
        <f>(1-AB4)*F11+(1-AB5)*F4+(1-AB6)*F6</f>
        <v>27.768992971366895</v>
      </c>
      <c r="Z3" t="s">
        <v>2</v>
      </c>
      <c r="AA3" s="3" t="s">
        <v>14</v>
      </c>
      <c r="AB3">
        <v>0</v>
      </c>
      <c r="AL3" t="s">
        <v>15</v>
      </c>
      <c r="AM3" s="46">
        <f>AQ11</f>
        <v>0.29735032401813283</v>
      </c>
      <c r="AN3" t="s">
        <v>16</v>
      </c>
      <c r="AP3" t="s">
        <v>17</v>
      </c>
      <c r="AR3" s="47">
        <v>2</v>
      </c>
    </row>
    <row r="4" spans="1:44" x14ac:dyDescent="0.25">
      <c r="A4" s="1" t="s">
        <v>18</v>
      </c>
      <c r="B4" s="1" t="s">
        <v>19</v>
      </c>
      <c r="C4" s="2" t="s">
        <v>20</v>
      </c>
      <c r="E4" s="15" t="s">
        <v>21</v>
      </c>
      <c r="F4" s="15">
        <f>C10</f>
        <v>53.070283495475152</v>
      </c>
      <c r="H4" s="14" t="s">
        <v>22</v>
      </c>
      <c r="I4" s="26" t="s">
        <v>23</v>
      </c>
      <c r="J4" s="26" t="s">
        <v>24</v>
      </c>
      <c r="M4" t="s">
        <v>25</v>
      </c>
      <c r="N4" s="45">
        <f>F8/C25</f>
        <v>1.7721152561189973E-2</v>
      </c>
      <c r="O4" s="47">
        <v>0.2</v>
      </c>
      <c r="P4" s="47">
        <v>0.7</v>
      </c>
      <c r="Q4" s="47">
        <v>0.2</v>
      </c>
      <c r="R4" s="47">
        <v>0.7</v>
      </c>
      <c r="X4" t="s">
        <v>26</v>
      </c>
      <c r="Y4" s="46">
        <f>0.7*Y5</f>
        <v>306.76464448251534</v>
      </c>
      <c r="Z4" t="s">
        <v>2</v>
      </c>
      <c r="AA4" t="s">
        <v>27</v>
      </c>
      <c r="AB4">
        <v>0.81499999999999995</v>
      </c>
      <c r="AL4" t="s">
        <v>28</v>
      </c>
      <c r="AM4" s="46">
        <f>AQ12</f>
        <v>0.59470064803626566</v>
      </c>
      <c r="AN4" t="s">
        <v>16</v>
      </c>
      <c r="AP4" t="s">
        <v>29</v>
      </c>
      <c r="AR4" s="47">
        <v>4</v>
      </c>
    </row>
    <row r="5" spans="1:44" x14ac:dyDescent="0.25">
      <c r="A5" s="1" t="s">
        <v>30</v>
      </c>
      <c r="B5" s="1">
        <v>239.9901789948953</v>
      </c>
      <c r="C5" s="1">
        <f t="shared" ref="C5:C24" si="0">B5*0.453592</f>
        <v>108.85762527065255</v>
      </c>
      <c r="E5" s="15" t="s">
        <v>31</v>
      </c>
      <c r="F5" s="15">
        <f>C5*I6</f>
        <v>6.5947495657596873</v>
      </c>
      <c r="H5" s="16" t="s">
        <v>32</v>
      </c>
      <c r="I5" s="16">
        <f>0.8*58.693/I11</f>
        <v>0.482677659104226</v>
      </c>
      <c r="J5" s="20">
        <f>I5</f>
        <v>0.482677659104226</v>
      </c>
      <c r="M5" t="s">
        <v>33</v>
      </c>
      <c r="N5" s="45">
        <f>F5/C25</f>
        <v>1.5048424839893496E-2</v>
      </c>
      <c r="O5" s="47">
        <v>0.76919999999999999</v>
      </c>
      <c r="P5" s="47">
        <v>0</v>
      </c>
      <c r="Q5" s="47">
        <v>0.76919999999999999</v>
      </c>
      <c r="R5" s="47">
        <v>0</v>
      </c>
      <c r="X5" t="s">
        <v>34</v>
      </c>
      <c r="Y5" s="46">
        <f>C25</f>
        <v>438.23520640359334</v>
      </c>
      <c r="Z5" t="s">
        <v>2</v>
      </c>
      <c r="AA5" t="s">
        <v>35</v>
      </c>
      <c r="AB5">
        <v>0.85</v>
      </c>
      <c r="AL5" t="s">
        <v>36</v>
      </c>
      <c r="AM5" s="46">
        <f>AQ13</f>
        <v>1.029736807493857E-2</v>
      </c>
      <c r="AN5" t="s">
        <v>16</v>
      </c>
      <c r="AP5" t="s">
        <v>37</v>
      </c>
      <c r="AR5" s="47">
        <v>0.5</v>
      </c>
    </row>
    <row r="6" spans="1:44" x14ac:dyDescent="0.25">
      <c r="A6" s="1" t="s">
        <v>38</v>
      </c>
      <c r="B6" s="1">
        <v>167.62599056205451</v>
      </c>
      <c r="C6" s="1">
        <f t="shared" si="0"/>
        <v>76.033808311023435</v>
      </c>
      <c r="E6" s="15" t="s">
        <v>39</v>
      </c>
      <c r="F6" s="15">
        <f>C9</f>
        <v>33.700287372436321</v>
      </c>
      <c r="H6" s="16" t="s">
        <v>40</v>
      </c>
      <c r="I6" s="16">
        <f>0.1*58.933/I11</f>
        <v>6.0581420450456933E-2</v>
      </c>
      <c r="J6" s="20">
        <f>I6</f>
        <v>6.0581420450456933E-2</v>
      </c>
      <c r="M6" t="s">
        <v>41</v>
      </c>
      <c r="N6" s="45">
        <f>F10/C25</f>
        <v>0.11989713052148969</v>
      </c>
      <c r="O6" s="47">
        <v>0.4</v>
      </c>
      <c r="P6" s="47">
        <v>0.4</v>
      </c>
      <c r="Q6" s="47">
        <v>0.4</v>
      </c>
      <c r="R6" s="47">
        <v>0.4</v>
      </c>
      <c r="AA6" t="s">
        <v>42</v>
      </c>
      <c r="AB6">
        <v>0.96</v>
      </c>
      <c r="AL6" t="s">
        <v>43</v>
      </c>
      <c r="AM6" s="46">
        <f>AQ14</f>
        <v>9.7651659870662808E-2</v>
      </c>
      <c r="AN6" t="s">
        <v>16</v>
      </c>
      <c r="AP6" t="s">
        <v>44</v>
      </c>
      <c r="AQ6" t="s">
        <v>45</v>
      </c>
      <c r="AR6" s="47">
        <v>0.5</v>
      </c>
    </row>
    <row r="7" spans="1:44" x14ac:dyDescent="0.25">
      <c r="A7" s="1" t="s">
        <v>46</v>
      </c>
      <c r="B7" s="1">
        <v>0</v>
      </c>
      <c r="C7" s="1">
        <f t="shared" si="0"/>
        <v>0</v>
      </c>
      <c r="E7" s="15" t="s">
        <v>47</v>
      </c>
      <c r="F7" s="15">
        <f>C6</f>
        <v>76.033808311023435</v>
      </c>
      <c r="H7" s="16" t="s">
        <v>48</v>
      </c>
      <c r="I7" s="16">
        <f>0.1*54.938/I11</f>
        <v>5.6474675932112792E-2</v>
      </c>
      <c r="J7" s="20">
        <f>I7</f>
        <v>5.6474675932112792E-2</v>
      </c>
      <c r="M7" t="s">
        <v>49</v>
      </c>
      <c r="N7" s="45">
        <f>F6/C25</f>
        <v>7.6899999999999982E-2</v>
      </c>
      <c r="O7" s="47">
        <v>0.66669999999999996</v>
      </c>
      <c r="P7" s="47">
        <v>0.2</v>
      </c>
      <c r="Q7" s="47">
        <v>0.66669999999999996</v>
      </c>
      <c r="R7" s="47">
        <v>0.2</v>
      </c>
      <c r="AA7" t="s">
        <v>50</v>
      </c>
      <c r="AB7">
        <v>1</v>
      </c>
      <c r="AL7" t="s">
        <v>51</v>
      </c>
      <c r="AM7" s="46">
        <f>AQ7</f>
        <v>0.2</v>
      </c>
      <c r="AN7" t="s">
        <v>52</v>
      </c>
      <c r="AP7" t="s">
        <v>53</v>
      </c>
      <c r="AQ7">
        <v>0.2</v>
      </c>
      <c r="AR7" s="47">
        <v>0.5</v>
      </c>
    </row>
    <row r="8" spans="1:44" x14ac:dyDescent="0.25">
      <c r="A8" s="1" t="s">
        <v>54</v>
      </c>
      <c r="B8" s="1">
        <v>8.4054531290482668</v>
      </c>
      <c r="C8" s="1">
        <f t="shared" si="0"/>
        <v>3.8126462957112612</v>
      </c>
      <c r="E8" s="15" t="s">
        <v>55</v>
      </c>
      <c r="F8" s="15">
        <f>C5*I9</f>
        <v>7.7660329503626553</v>
      </c>
      <c r="H8" s="16" t="s">
        <v>56</v>
      </c>
      <c r="I8" s="16">
        <f>2*15.999/I11</f>
        <v>0.32893019048304362</v>
      </c>
      <c r="J8" s="20">
        <f>I8</f>
        <v>0.32893019048304362</v>
      </c>
      <c r="M8" t="s">
        <v>57</v>
      </c>
      <c r="N8" s="45">
        <f>F9/C25</f>
        <v>1.4028309501536813E-2</v>
      </c>
      <c r="O8" s="47">
        <v>1</v>
      </c>
      <c r="P8" s="47">
        <v>0</v>
      </c>
      <c r="Q8" s="47">
        <v>1</v>
      </c>
      <c r="R8" s="47">
        <v>0</v>
      </c>
      <c r="W8" t="s">
        <v>58</v>
      </c>
      <c r="AA8" t="s">
        <v>59</v>
      </c>
      <c r="AB8">
        <v>1</v>
      </c>
      <c r="AL8" t="s">
        <v>60</v>
      </c>
      <c r="AM8" s="46">
        <f>AQ8</f>
        <v>0.2</v>
      </c>
      <c r="AN8" t="s">
        <v>52</v>
      </c>
      <c r="AP8" t="s">
        <v>61</v>
      </c>
      <c r="AQ8">
        <v>0.2</v>
      </c>
      <c r="AR8" s="47">
        <v>0.8</v>
      </c>
    </row>
    <row r="9" spans="1:44" ht="15.75" customHeight="1" thickBot="1" x14ac:dyDescent="0.3">
      <c r="A9" s="1" t="s">
        <v>62</v>
      </c>
      <c r="B9" s="1">
        <v>74.296476508484105</v>
      </c>
      <c r="C9" s="1">
        <f t="shared" si="0"/>
        <v>33.700287372436321</v>
      </c>
      <c r="E9" s="15" t="s">
        <v>63</v>
      </c>
      <c r="F9" s="15">
        <f>C5*I7</f>
        <v>6.1476991098994747</v>
      </c>
      <c r="H9" s="16" t="s">
        <v>64</v>
      </c>
      <c r="I9" s="16">
        <f>6.94/I11</f>
        <v>7.1341193885627943E-2</v>
      </c>
      <c r="J9" s="20">
        <f>I9</f>
        <v>7.1341193885627943E-2</v>
      </c>
      <c r="K9" s="21"/>
      <c r="M9" t="s">
        <v>65</v>
      </c>
      <c r="N9" s="45">
        <f>F4/C25</f>
        <v>0.1211</v>
      </c>
      <c r="O9" s="47">
        <v>3</v>
      </c>
      <c r="P9" s="47">
        <v>0.3</v>
      </c>
      <c r="Q9" s="47">
        <v>3</v>
      </c>
      <c r="R9" s="47">
        <v>0.3</v>
      </c>
      <c r="X9" t="s">
        <v>66</v>
      </c>
      <c r="Y9" s="46">
        <f>2/100*Y14</f>
        <v>8.7647041280718678</v>
      </c>
      <c r="Z9" t="s">
        <v>67</v>
      </c>
      <c r="AA9" t="s">
        <v>68</v>
      </c>
      <c r="AB9">
        <v>1</v>
      </c>
      <c r="AL9" t="s">
        <v>69</v>
      </c>
      <c r="AM9" s="46">
        <f>AQ9</f>
        <v>0.105</v>
      </c>
      <c r="AN9" t="s">
        <v>52</v>
      </c>
      <c r="AP9" t="s">
        <v>70</v>
      </c>
      <c r="AQ9">
        <v>0.105</v>
      </c>
      <c r="AR9" s="47">
        <v>0.63100000000000001</v>
      </c>
    </row>
    <row r="10" spans="1:44" ht="15.75" customHeight="1" thickBot="1" x14ac:dyDescent="0.3">
      <c r="A10" s="1" t="s">
        <v>71</v>
      </c>
      <c r="B10" s="1">
        <v>117.0000429802006</v>
      </c>
      <c r="C10" s="1">
        <f t="shared" si="0"/>
        <v>53.070283495475152</v>
      </c>
      <c r="E10" s="15" t="s">
        <v>72</v>
      </c>
      <c r="F10" s="15">
        <f>C5*I5</f>
        <v>52.543143741283608</v>
      </c>
      <c r="M10" t="s">
        <v>73</v>
      </c>
      <c r="N10" s="45">
        <f>F11/C25</f>
        <v>0.22769999999999996</v>
      </c>
      <c r="O10" s="55">
        <v>58.452300000000001</v>
      </c>
      <c r="P10" s="47">
        <v>0.5</v>
      </c>
      <c r="Q10" s="47">
        <v>58.452300000000001</v>
      </c>
      <c r="R10" s="47">
        <v>0.5</v>
      </c>
      <c r="X10" t="s">
        <v>74</v>
      </c>
      <c r="Y10" s="47">
        <v>0</v>
      </c>
      <c r="Z10" t="s">
        <v>16</v>
      </c>
      <c r="AA10" t="s">
        <v>75</v>
      </c>
      <c r="AB10">
        <v>1</v>
      </c>
      <c r="AL10" t="s">
        <v>76</v>
      </c>
      <c r="AM10" s="46">
        <f>AQ10</f>
        <v>0.2</v>
      </c>
      <c r="AN10" t="s">
        <v>52</v>
      </c>
      <c r="AP10" t="s">
        <v>77</v>
      </c>
      <c r="AQ10">
        <v>0.2</v>
      </c>
      <c r="AR10" s="47">
        <v>1</v>
      </c>
    </row>
    <row r="11" spans="1:44" x14ac:dyDescent="0.25">
      <c r="A11" s="1" t="s">
        <v>78</v>
      </c>
      <c r="B11" s="1">
        <v>0</v>
      </c>
      <c r="C11" s="1">
        <f t="shared" si="0"/>
        <v>0</v>
      </c>
      <c r="E11" s="15" t="s">
        <v>79</v>
      </c>
      <c r="F11" s="15">
        <f>C19+C20</f>
        <v>99.78615649809818</v>
      </c>
      <c r="H11" s="19" t="s">
        <v>80</v>
      </c>
      <c r="I11">
        <v>97.278999999999996</v>
      </c>
      <c r="O11" t="s">
        <v>81</v>
      </c>
      <c r="X11" t="s">
        <v>82</v>
      </c>
      <c r="Y11" s="47">
        <v>0.1</v>
      </c>
      <c r="Z11" t="s">
        <v>16</v>
      </c>
      <c r="AL11" t="s">
        <v>83</v>
      </c>
      <c r="AM11" s="46">
        <f>(AM30+AM31)*1/3</f>
        <v>26491.445073366733</v>
      </c>
      <c r="AN11" t="s">
        <v>52</v>
      </c>
      <c r="AP11" t="s">
        <v>84</v>
      </c>
      <c r="AQ11">
        <f>AM11/SUM($AM$11:$AM$14)</f>
        <v>0.29735032401813283</v>
      </c>
    </row>
    <row r="12" spans="1:44" ht="15.75" customHeight="1" x14ac:dyDescent="0.25">
      <c r="A12" s="1" t="s">
        <v>85</v>
      </c>
      <c r="B12" s="1">
        <v>10.434355608473711</v>
      </c>
      <c r="C12" s="1">
        <f t="shared" si="0"/>
        <v>4.7329402291588076</v>
      </c>
      <c r="X12" t="s">
        <v>86</v>
      </c>
      <c r="Y12" s="47">
        <v>0</v>
      </c>
      <c r="Z12" t="s">
        <v>16</v>
      </c>
      <c r="AL12" t="s">
        <v>87</v>
      </c>
      <c r="AM12" s="46">
        <f>(AM30+AM31)*2/3</f>
        <v>52982.890146733465</v>
      </c>
      <c r="AN12" t="s">
        <v>52</v>
      </c>
      <c r="AP12" t="s">
        <v>88</v>
      </c>
      <c r="AQ12">
        <f>AM12/SUM($AM$11:$AM$14)</f>
        <v>0.59470064803626566</v>
      </c>
    </row>
    <row r="13" spans="1:44" x14ac:dyDescent="0.25">
      <c r="A13" s="1" t="s">
        <v>89</v>
      </c>
      <c r="B13" s="1">
        <v>28.9843211346492</v>
      </c>
      <c r="C13" s="1">
        <f t="shared" si="0"/>
        <v>13.147056192107799</v>
      </c>
      <c r="X13" t="s">
        <v>90</v>
      </c>
      <c r="Y13" s="47">
        <v>0.1</v>
      </c>
      <c r="Z13" t="s">
        <v>16</v>
      </c>
      <c r="AL13" t="s">
        <v>91</v>
      </c>
      <c r="AM13" s="46">
        <f>AV59</f>
        <v>917.41000000000008</v>
      </c>
      <c r="AN13" t="s">
        <v>52</v>
      </c>
      <c r="AP13" t="s">
        <v>92</v>
      </c>
      <c r="AQ13">
        <f>AM13/SUM($AM$11:$AM$14)</f>
        <v>1.029736807493857E-2</v>
      </c>
    </row>
    <row r="14" spans="1:44" x14ac:dyDescent="0.25">
      <c r="A14" s="1" t="s">
        <v>93</v>
      </c>
      <c r="B14" s="1">
        <v>28.9843211346492</v>
      </c>
      <c r="C14" s="1">
        <f t="shared" si="0"/>
        <v>13.147056192107799</v>
      </c>
      <c r="L14" t="s">
        <v>94</v>
      </c>
      <c r="N14" t="s">
        <v>95</v>
      </c>
      <c r="O14" t="s">
        <v>96</v>
      </c>
      <c r="P14" t="s">
        <v>97</v>
      </c>
      <c r="Q14" t="s">
        <v>98</v>
      </c>
      <c r="R14" t="s">
        <v>99</v>
      </c>
      <c r="S14" s="75" t="s">
        <v>100</v>
      </c>
      <c r="X14" t="s">
        <v>101</v>
      </c>
      <c r="Y14" s="46">
        <f>C25</f>
        <v>438.23520640359334</v>
      </c>
      <c r="Z14" t="s">
        <v>67</v>
      </c>
      <c r="AL14" t="s">
        <v>102</v>
      </c>
      <c r="AM14" s="72">
        <f>AM35+AM36</f>
        <v>8699.9521266000011</v>
      </c>
      <c r="AN14" t="s">
        <v>52</v>
      </c>
      <c r="AP14" t="s">
        <v>103</v>
      </c>
      <c r="AQ14">
        <f>AM14/SUM($AM$11:$AM$14)</f>
        <v>9.7651659870662808E-2</v>
      </c>
    </row>
    <row r="15" spans="1:44" x14ac:dyDescent="0.25">
      <c r="A15" s="1" t="s">
        <v>104</v>
      </c>
      <c r="B15" s="1">
        <v>0.77291523025731201</v>
      </c>
      <c r="C15" s="1">
        <f t="shared" si="0"/>
        <v>0.35058816512287466</v>
      </c>
      <c r="M15" t="s">
        <v>25</v>
      </c>
      <c r="N15" s="46">
        <f>F8</f>
        <v>7.7660329503626553</v>
      </c>
      <c r="O15">
        <v>0</v>
      </c>
      <c r="P15">
        <v>0</v>
      </c>
      <c r="Q15">
        <v>1</v>
      </c>
      <c r="R15" s="47">
        <v>0.95</v>
      </c>
      <c r="S15" s="46">
        <v>0.91</v>
      </c>
      <c r="U15" s="28">
        <f t="shared" ref="U15:U21" si="1">S15*N15</f>
        <v>7.0670899848300168</v>
      </c>
      <c r="X15" t="s">
        <v>105</v>
      </c>
      <c r="Y15" s="46">
        <f>SUM(ECPI_indicator!F4:F11)</f>
        <v>335.64216104433848</v>
      </c>
      <c r="Z15" t="s">
        <v>67</v>
      </c>
      <c r="AA15" t="s">
        <v>106</v>
      </c>
    </row>
    <row r="16" spans="1:44" x14ac:dyDescent="0.25">
      <c r="A16" s="1" t="s">
        <v>107</v>
      </c>
      <c r="B16" s="1">
        <v>5.9900930344941683</v>
      </c>
      <c r="C16" s="1">
        <f t="shared" si="0"/>
        <v>2.7170582797022789</v>
      </c>
      <c r="M16" t="s">
        <v>33</v>
      </c>
      <c r="N16" s="46">
        <f>F5</f>
        <v>6.5947495657596873</v>
      </c>
      <c r="O16">
        <v>0</v>
      </c>
      <c r="P16">
        <v>0</v>
      </c>
      <c r="Q16">
        <v>1</v>
      </c>
      <c r="R16" s="47">
        <v>0.95</v>
      </c>
      <c r="S16" s="46">
        <v>0.84</v>
      </c>
      <c r="U16" s="28">
        <f t="shared" si="1"/>
        <v>5.5395896352381371</v>
      </c>
      <c r="AR16" t="s">
        <v>108</v>
      </c>
    </row>
    <row r="17" spans="1:45" x14ac:dyDescent="0.25">
      <c r="A17" s="1" t="s">
        <v>109</v>
      </c>
      <c r="B17" s="1">
        <v>8.9851395517412502</v>
      </c>
      <c r="C17" s="1">
        <f t="shared" si="0"/>
        <v>4.0755874195534174</v>
      </c>
      <c r="M17" t="s">
        <v>41</v>
      </c>
      <c r="N17" s="46">
        <f>F10</f>
        <v>52.543143741283608</v>
      </c>
      <c r="O17">
        <v>0</v>
      </c>
      <c r="P17">
        <v>0</v>
      </c>
      <c r="Q17">
        <v>1</v>
      </c>
      <c r="R17" s="47">
        <v>0.97</v>
      </c>
      <c r="S17" s="46">
        <v>0.84</v>
      </c>
      <c r="U17" s="28">
        <f t="shared" si="1"/>
        <v>44.136240742678226</v>
      </c>
      <c r="AK17" t="s">
        <v>110</v>
      </c>
      <c r="AQ17" s="73">
        <v>0.2</v>
      </c>
      <c r="AR17" s="74">
        <v>0</v>
      </c>
      <c r="AS17" s="73">
        <v>-0.2</v>
      </c>
    </row>
    <row r="18" spans="1:45" x14ac:dyDescent="0.25">
      <c r="A18" s="1" t="s">
        <v>111</v>
      </c>
      <c r="B18" s="1">
        <v>1.6424448642967879</v>
      </c>
      <c r="C18" s="1">
        <f t="shared" si="0"/>
        <v>0.74499985088610865</v>
      </c>
      <c r="M18" t="s">
        <v>49</v>
      </c>
      <c r="N18" s="46">
        <f>F6</f>
        <v>33.700287372436321</v>
      </c>
      <c r="O18">
        <v>0</v>
      </c>
      <c r="P18">
        <v>0</v>
      </c>
      <c r="Q18">
        <v>1</v>
      </c>
      <c r="R18" s="47">
        <v>0.91</v>
      </c>
      <c r="S18" s="46">
        <v>0.96</v>
      </c>
      <c r="U18" s="28">
        <f t="shared" si="1"/>
        <v>32.352275877538865</v>
      </c>
      <c r="W18" t="s">
        <v>112</v>
      </c>
      <c r="AL18" t="s">
        <v>113</v>
      </c>
      <c r="AM18" s="47">
        <v>0.15</v>
      </c>
      <c r="AN18" t="s">
        <v>16</v>
      </c>
      <c r="AP18" t="s">
        <v>114</v>
      </c>
      <c r="AQ18">
        <f>1.2*AR18</f>
        <v>10439.942551920001</v>
      </c>
      <c r="AR18">
        <f>AM14</f>
        <v>8699.9521266000011</v>
      </c>
      <c r="AS18">
        <f>AR18*0.8</f>
        <v>6959.9617012800009</v>
      </c>
    </row>
    <row r="19" spans="1:45" x14ac:dyDescent="0.25">
      <c r="A19" s="1" t="s">
        <v>115</v>
      </c>
      <c r="B19" s="1">
        <v>156.90179174223431</v>
      </c>
      <c r="C19" s="1">
        <f t="shared" si="0"/>
        <v>71.169397519943544</v>
      </c>
      <c r="M19" t="s">
        <v>57</v>
      </c>
      <c r="N19" s="46">
        <f>F9</f>
        <v>6.1476991098994747</v>
      </c>
      <c r="O19">
        <v>0</v>
      </c>
      <c r="P19">
        <v>0</v>
      </c>
      <c r="Q19">
        <v>1</v>
      </c>
      <c r="R19" s="47">
        <v>0.71</v>
      </c>
      <c r="S19" s="46">
        <v>0.84</v>
      </c>
      <c r="U19" s="28">
        <f t="shared" si="1"/>
        <v>5.1640672523155589</v>
      </c>
      <c r="X19" t="s">
        <v>116</v>
      </c>
      <c r="Y19" s="47">
        <v>0.1</v>
      </c>
      <c r="Z19" t="s">
        <v>16</v>
      </c>
      <c r="AA19" t="s">
        <v>117</v>
      </c>
      <c r="AL19" t="s">
        <v>118</v>
      </c>
      <c r="AM19" s="47">
        <v>0.15</v>
      </c>
      <c r="AN19" t="s">
        <v>16</v>
      </c>
      <c r="AP19" t="s">
        <v>119</v>
      </c>
      <c r="AQ19">
        <f>1.2*AR19</f>
        <v>1153.75051512</v>
      </c>
      <c r="AR19">
        <v>961.45876260000011</v>
      </c>
      <c r="AS19">
        <f>AR19*0.8</f>
        <v>769.16701008000018</v>
      </c>
    </row>
    <row r="20" spans="1:45" x14ac:dyDescent="0.25">
      <c r="A20" s="1" t="s">
        <v>120</v>
      </c>
      <c r="B20" s="1">
        <v>63.089205669753078</v>
      </c>
      <c r="C20" s="1">
        <f t="shared" si="0"/>
        <v>28.616758978154639</v>
      </c>
      <c r="M20" t="s">
        <v>65</v>
      </c>
      <c r="N20" s="46">
        <f>F4</f>
        <v>53.070283495475152</v>
      </c>
      <c r="O20">
        <v>0</v>
      </c>
      <c r="P20">
        <v>0</v>
      </c>
      <c r="Q20">
        <v>1</v>
      </c>
      <c r="R20" s="47">
        <v>0.8</v>
      </c>
      <c r="S20" s="46">
        <v>0.93</v>
      </c>
      <c r="U20" s="28">
        <f t="shared" si="1"/>
        <v>49.355363650791894</v>
      </c>
      <c r="X20" t="s">
        <v>121</v>
      </c>
      <c r="Y20" s="47">
        <v>0.4</v>
      </c>
      <c r="Z20" t="s">
        <v>16</v>
      </c>
      <c r="AA20" t="s">
        <v>122</v>
      </c>
      <c r="AL20" t="s">
        <v>123</v>
      </c>
      <c r="AM20" s="47">
        <v>0.35</v>
      </c>
      <c r="AN20" t="s">
        <v>16</v>
      </c>
      <c r="AP20" t="s">
        <v>124</v>
      </c>
      <c r="AQ20">
        <f>1.2*AR20</f>
        <v>9286.192036800001</v>
      </c>
      <c r="AR20">
        <v>7738.4933640000008</v>
      </c>
      <c r="AS20">
        <f>AR20*0.8</f>
        <v>6190.7946912000007</v>
      </c>
    </row>
    <row r="21" spans="1:45" x14ac:dyDescent="0.25">
      <c r="A21" s="1" t="s">
        <v>125</v>
      </c>
      <c r="B21" s="1">
        <v>0.28984321134649199</v>
      </c>
      <c r="C21" s="1">
        <f t="shared" si="0"/>
        <v>0.13147056192107801</v>
      </c>
      <c r="M21" t="s">
        <v>73</v>
      </c>
      <c r="N21" s="46">
        <f>F11</f>
        <v>99.78615649809818</v>
      </c>
      <c r="O21">
        <v>0</v>
      </c>
      <c r="P21">
        <v>0</v>
      </c>
      <c r="Q21">
        <v>1</v>
      </c>
      <c r="R21" s="47">
        <v>0.95</v>
      </c>
      <c r="S21" s="46">
        <v>0.95</v>
      </c>
      <c r="U21" s="28">
        <f t="shared" si="1"/>
        <v>94.796848673193267</v>
      </c>
      <c r="X21" t="s">
        <v>126</v>
      </c>
      <c r="Y21" s="47">
        <v>0.8</v>
      </c>
      <c r="Z21" t="s">
        <v>16</v>
      </c>
      <c r="AA21" t="s">
        <v>127</v>
      </c>
      <c r="AL21" t="s">
        <v>128</v>
      </c>
      <c r="AM21" s="47">
        <v>0.35</v>
      </c>
      <c r="AN21" t="s">
        <v>16</v>
      </c>
      <c r="AP21" t="s">
        <v>129</v>
      </c>
    </row>
    <row r="22" spans="1:45" x14ac:dyDescent="0.25">
      <c r="A22" s="1" t="s">
        <v>130</v>
      </c>
      <c r="B22" s="1">
        <v>3.574732939940068</v>
      </c>
      <c r="C22" s="1">
        <f t="shared" si="0"/>
        <v>1.6214702636932954</v>
      </c>
      <c r="X22" t="s">
        <v>131</v>
      </c>
      <c r="Y22" s="47">
        <v>5</v>
      </c>
      <c r="Z22" t="s">
        <v>132</v>
      </c>
      <c r="AL22" t="s">
        <v>133</v>
      </c>
      <c r="AM22" s="47">
        <f>-0.037</f>
        <v>-3.6999999999999998E-2</v>
      </c>
      <c r="AN22" t="s">
        <v>134</v>
      </c>
      <c r="AP22" t="s">
        <v>135</v>
      </c>
    </row>
    <row r="23" spans="1:45" x14ac:dyDescent="0.25">
      <c r="A23" s="1" t="s">
        <v>136</v>
      </c>
      <c r="B23" s="1">
        <v>39.998363165815903</v>
      </c>
      <c r="C23" s="1">
        <f t="shared" si="0"/>
        <v>18.142937545108765</v>
      </c>
      <c r="X23" t="s">
        <v>137</v>
      </c>
      <c r="Y23" s="47">
        <v>5</v>
      </c>
      <c r="Z23" t="s">
        <v>132</v>
      </c>
      <c r="AL23" t="s">
        <v>138</v>
      </c>
      <c r="AM23" s="47">
        <f>-0.036</f>
        <v>-3.5999999999999997E-2</v>
      </c>
      <c r="AN23" t="s">
        <v>134</v>
      </c>
      <c r="AP23" t="s">
        <v>139</v>
      </c>
    </row>
    <row r="24" spans="1:45" x14ac:dyDescent="0.25">
      <c r="A24" s="1" t="s">
        <v>140</v>
      </c>
      <c r="B24" s="1">
        <v>9.1783683593055336</v>
      </c>
      <c r="C24" s="1">
        <f t="shared" si="0"/>
        <v>4.1632344608341159</v>
      </c>
      <c r="L24" t="s">
        <v>141</v>
      </c>
      <c r="M24" t="s">
        <v>142</v>
      </c>
      <c r="N24">
        <v>51800</v>
      </c>
      <c r="O24" t="s">
        <v>143</v>
      </c>
      <c r="S24" s="27">
        <v>-0.05</v>
      </c>
      <c r="U24" s="76">
        <v>0.05</v>
      </c>
      <c r="X24" t="s">
        <v>144</v>
      </c>
      <c r="Y24" s="47">
        <v>5</v>
      </c>
      <c r="Z24" t="s">
        <v>132</v>
      </c>
      <c r="AE24" s="1" t="s">
        <v>145</v>
      </c>
      <c r="AL24" t="s">
        <v>146</v>
      </c>
      <c r="AM24" s="47">
        <v>0</v>
      </c>
      <c r="AN24" t="s">
        <v>134</v>
      </c>
      <c r="AP24" t="s">
        <v>147</v>
      </c>
    </row>
    <row r="25" spans="1:45" x14ac:dyDescent="0.25">
      <c r="A25" s="25" t="s">
        <v>148</v>
      </c>
      <c r="B25">
        <f>SUM(B5:B24)</f>
        <v>966.14403782163981</v>
      </c>
      <c r="C25">
        <f>SUM(C5:C24)</f>
        <v>438.23520640359334</v>
      </c>
      <c r="M25" t="s">
        <v>149</v>
      </c>
      <c r="O25" t="s">
        <v>150</v>
      </c>
      <c r="T25" s="75" t="s">
        <v>100</v>
      </c>
      <c r="X25" t="s">
        <v>151</v>
      </c>
      <c r="Y25" s="46">
        <f>$Y$28/10*0.33</f>
        <v>14.461761811318581</v>
      </c>
      <c r="Z25" t="s">
        <v>67</v>
      </c>
      <c r="AD25" s="1" t="s">
        <v>152</v>
      </c>
      <c r="AE25" s="71">
        <v>0.23</v>
      </c>
      <c r="AF25" s="36">
        <v>0.19</v>
      </c>
      <c r="AG25" s="1"/>
      <c r="AH25" t="s">
        <v>153</v>
      </c>
      <c r="AL25" t="s">
        <v>154</v>
      </c>
      <c r="AM25" s="47">
        <v>0</v>
      </c>
      <c r="AN25" t="s">
        <v>134</v>
      </c>
      <c r="AP25" t="s">
        <v>155</v>
      </c>
    </row>
    <row r="26" spans="1:45" x14ac:dyDescent="0.25">
      <c r="S26">
        <f t="shared" ref="S26:S32" si="2">0.95*T26</f>
        <v>0.86449999999999994</v>
      </c>
      <c r="T26" s="46">
        <v>0.91</v>
      </c>
      <c r="U26" s="28">
        <f t="shared" ref="U26:U32" si="3">1.05*T26</f>
        <v>0.95550000000000013</v>
      </c>
      <c r="X26" t="s">
        <v>156</v>
      </c>
      <c r="Y26" s="46">
        <f>$Y$28/10*0.33</f>
        <v>14.461761811318581</v>
      </c>
      <c r="Z26" t="s">
        <v>67</v>
      </c>
      <c r="AD26" s="1" t="s">
        <v>157</v>
      </c>
      <c r="AE26" s="71">
        <v>0.3</v>
      </c>
      <c r="AF26" s="36">
        <v>0.69</v>
      </c>
      <c r="AG26" s="36">
        <f>335/438*0.9</f>
        <v>0.68835616438356162</v>
      </c>
    </row>
    <row r="27" spans="1:45" x14ac:dyDescent="0.25">
      <c r="S27">
        <f t="shared" si="2"/>
        <v>0.79799999999999993</v>
      </c>
      <c r="T27" s="46">
        <v>0.84</v>
      </c>
      <c r="U27" s="28">
        <f t="shared" si="3"/>
        <v>0.88200000000000001</v>
      </c>
      <c r="X27" t="s">
        <v>158</v>
      </c>
      <c r="Y27" s="46">
        <f>$Y$28/10*0.33</f>
        <v>14.461761811318581</v>
      </c>
      <c r="Z27" t="s">
        <v>67</v>
      </c>
      <c r="AD27" s="1" t="s">
        <v>159</v>
      </c>
      <c r="AE27" s="71">
        <v>0.02</v>
      </c>
      <c r="AF27" s="36">
        <v>0.02</v>
      </c>
      <c r="AG27" s="1">
        <f>(0.31-0.2-0.1)*438</f>
        <v>4.3799999999999919</v>
      </c>
    </row>
    <row r="28" spans="1:45" x14ac:dyDescent="0.25">
      <c r="L28" t="s">
        <v>160</v>
      </c>
      <c r="M28" t="s">
        <v>161</v>
      </c>
      <c r="N28" s="46">
        <v>1.24</v>
      </c>
      <c r="O28" t="s">
        <v>162</v>
      </c>
      <c r="S28">
        <f t="shared" si="2"/>
        <v>0.79799999999999993</v>
      </c>
      <c r="T28" s="46">
        <v>0.84</v>
      </c>
      <c r="U28" s="28">
        <f t="shared" si="3"/>
        <v>0.88200000000000001</v>
      </c>
      <c r="X28" t="s">
        <v>163</v>
      </c>
      <c r="Y28" s="46">
        <f>C25</f>
        <v>438.23520640359334</v>
      </c>
      <c r="Z28" t="s">
        <v>67</v>
      </c>
      <c r="AD28" s="1" t="s">
        <v>164</v>
      </c>
      <c r="AE28" s="71">
        <v>0.1</v>
      </c>
      <c r="AF28" s="36">
        <v>0.1</v>
      </c>
      <c r="AG28" s="1"/>
      <c r="AK28" t="s">
        <v>165</v>
      </c>
    </row>
    <row r="29" spans="1:45" x14ac:dyDescent="0.25">
      <c r="M29" t="s">
        <v>166</v>
      </c>
      <c r="N29" s="46">
        <f>0.15*N31</f>
        <v>4.4654999999999996</v>
      </c>
      <c r="P29" s="48" t="s">
        <v>167</v>
      </c>
      <c r="S29">
        <f t="shared" si="2"/>
        <v>0.91199999999999992</v>
      </c>
      <c r="T29" s="46">
        <v>0.96</v>
      </c>
      <c r="U29" s="28">
        <f t="shared" si="3"/>
        <v>1.008</v>
      </c>
      <c r="AL29" t="s">
        <v>168</v>
      </c>
      <c r="AM29" s="46"/>
      <c r="AN29" t="s">
        <v>52</v>
      </c>
      <c r="AP29" t="s">
        <v>169</v>
      </c>
    </row>
    <row r="30" spans="1:45" x14ac:dyDescent="0.25">
      <c r="M30" t="s">
        <v>170</v>
      </c>
      <c r="N30" s="46">
        <v>0.53</v>
      </c>
      <c r="O30" t="s">
        <v>171</v>
      </c>
      <c r="S30">
        <f t="shared" si="2"/>
        <v>0.79799999999999993</v>
      </c>
      <c r="T30" s="46">
        <v>0.84</v>
      </c>
      <c r="U30" s="28">
        <f t="shared" si="3"/>
        <v>0.88200000000000001</v>
      </c>
      <c r="AE30" s="27">
        <f>SUM(AE25:AE28)</f>
        <v>0.65</v>
      </c>
      <c r="AF30" s="27">
        <f>SUM(AF25:AF28)</f>
        <v>0.99999999999999989</v>
      </c>
      <c r="AL30" t="s">
        <v>172</v>
      </c>
      <c r="AM30" s="46">
        <f>58*1055.055853</f>
        <v>61193.239474000002</v>
      </c>
      <c r="AN30" t="s">
        <v>52</v>
      </c>
      <c r="AP30" t="s">
        <v>173</v>
      </c>
    </row>
    <row r="31" spans="1:45" x14ac:dyDescent="0.25">
      <c r="M31" t="s">
        <v>174</v>
      </c>
      <c r="N31" s="46">
        <v>29.77</v>
      </c>
      <c r="O31" t="s">
        <v>171</v>
      </c>
      <c r="S31">
        <f t="shared" si="2"/>
        <v>0.88349999999999995</v>
      </c>
      <c r="T31" s="46">
        <v>0.93</v>
      </c>
      <c r="U31" s="28">
        <f t="shared" si="3"/>
        <v>0.97650000000000015</v>
      </c>
      <c r="W31" t="s">
        <v>175</v>
      </c>
      <c r="AL31" t="s">
        <v>176</v>
      </c>
      <c r="AM31" s="46">
        <f>17.32713552*1055.055853</f>
        <v>18281.0957461002</v>
      </c>
      <c r="AN31" t="s">
        <v>52</v>
      </c>
      <c r="AP31" t="s">
        <v>177</v>
      </c>
      <c r="AS31">
        <f>AM31+AM30</f>
        <v>79474.335220100198</v>
      </c>
    </row>
    <row r="32" spans="1:45" x14ac:dyDescent="0.25">
      <c r="M32" t="s">
        <v>142</v>
      </c>
      <c r="S32">
        <f t="shared" si="2"/>
        <v>0.90249999999999997</v>
      </c>
      <c r="T32" s="46">
        <v>0.95</v>
      </c>
      <c r="U32" s="28">
        <f t="shared" si="3"/>
        <v>0.99749999999999994</v>
      </c>
      <c r="X32" t="s">
        <v>178</v>
      </c>
      <c r="Y32" s="70">
        <f>Y15/Y14*0.9</f>
        <v>0.68930551568169884</v>
      </c>
      <c r="Z32" t="s">
        <v>16</v>
      </c>
      <c r="AA32" t="s">
        <v>179</v>
      </c>
      <c r="AF32" s="51"/>
      <c r="AL32" t="s">
        <v>180</v>
      </c>
      <c r="AM32" s="46">
        <f>AV59</f>
        <v>917.41000000000008</v>
      </c>
      <c r="AN32" t="s">
        <v>52</v>
      </c>
      <c r="AP32" t="s">
        <v>181</v>
      </c>
    </row>
    <row r="33" spans="12:50" x14ac:dyDescent="0.25">
      <c r="M33" t="s">
        <v>149</v>
      </c>
      <c r="X33" t="s">
        <v>182</v>
      </c>
      <c r="Y33" s="47">
        <v>1</v>
      </c>
      <c r="Z33" t="s">
        <v>183</v>
      </c>
      <c r="AD33" s="1"/>
      <c r="AE33" s="1"/>
      <c r="AF33" s="1" t="s">
        <v>184</v>
      </c>
      <c r="AG33" s="1" t="s">
        <v>152</v>
      </c>
      <c r="AH33" s="81" t="s">
        <v>185</v>
      </c>
      <c r="AL33" t="s">
        <v>186</v>
      </c>
      <c r="AM33" s="22"/>
      <c r="AN33" t="s">
        <v>52</v>
      </c>
      <c r="AP33" t="s">
        <v>187</v>
      </c>
    </row>
    <row r="34" spans="12:50" x14ac:dyDescent="0.25">
      <c r="X34" t="s">
        <v>188</v>
      </c>
      <c r="Y34" s="47">
        <v>1</v>
      </c>
      <c r="Z34" t="s">
        <v>183</v>
      </c>
      <c r="AD34" s="1" t="s">
        <v>189</v>
      </c>
      <c r="AE34" s="1"/>
      <c r="AF34" s="36">
        <f>335/438*0.7</f>
        <v>0.53538812785388123</v>
      </c>
      <c r="AG34" s="71">
        <f>1-AF34-$AF$28-$AF$27</f>
        <v>0.34461187214611877</v>
      </c>
      <c r="AH34" s="78"/>
      <c r="AL34" t="s">
        <v>190</v>
      </c>
      <c r="AM34" s="46">
        <f>AM32</f>
        <v>917.41000000000008</v>
      </c>
      <c r="AN34" t="s">
        <v>52</v>
      </c>
      <c r="AP34" t="s">
        <v>191</v>
      </c>
    </row>
    <row r="35" spans="12:50" x14ac:dyDescent="0.25">
      <c r="L35" t="s">
        <v>192</v>
      </c>
      <c r="M35" t="s">
        <v>193</v>
      </c>
      <c r="N35" s="47">
        <v>0.95</v>
      </c>
      <c r="X35" t="s">
        <v>194</v>
      </c>
      <c r="Y35" s="47">
        <v>5</v>
      </c>
      <c r="Z35" t="s">
        <v>183</v>
      </c>
      <c r="AD35" s="1" t="s">
        <v>195</v>
      </c>
      <c r="AE35" s="1"/>
      <c r="AF35" s="36">
        <f>335/438*0.9</f>
        <v>0.68835616438356162</v>
      </c>
      <c r="AG35" s="71">
        <f>1-AF35-$AF$28-$AF$27</f>
        <v>0.19164383561643838</v>
      </c>
      <c r="AH35" s="78"/>
      <c r="AL35" t="s">
        <v>196</v>
      </c>
      <c r="AM35" s="72">
        <f>3.039/2000*2.205*272*1055</f>
        <v>961.45876260000011</v>
      </c>
      <c r="AN35" t="s">
        <v>52</v>
      </c>
      <c r="AP35" t="s">
        <v>197</v>
      </c>
    </row>
    <row r="36" spans="12:50" x14ac:dyDescent="0.25">
      <c r="M36" t="s">
        <v>198</v>
      </c>
      <c r="N36" s="47">
        <v>0.93</v>
      </c>
      <c r="X36" t="s">
        <v>199</v>
      </c>
      <c r="Y36" s="47">
        <v>1</v>
      </c>
      <c r="Z36" t="s">
        <v>183</v>
      </c>
      <c r="AD36" s="1" t="s">
        <v>200</v>
      </c>
      <c r="AE36" s="1"/>
      <c r="AF36" s="36">
        <f>335/438*1</f>
        <v>0.76484018264840181</v>
      </c>
      <c r="AG36" s="71">
        <f>1-AF36-$AF$28-$AF$27</f>
        <v>0.11515981735159818</v>
      </c>
      <c r="AH36" s="78"/>
      <c r="AL36" t="s">
        <v>201</v>
      </c>
      <c r="AM36" s="72">
        <f>24.46/2000*2.205*272*1055</f>
        <v>7738.4933640000008</v>
      </c>
      <c r="AN36" t="s">
        <v>52</v>
      </c>
      <c r="AP36" t="s">
        <v>202</v>
      </c>
    </row>
    <row r="37" spans="12:50" x14ac:dyDescent="0.25">
      <c r="X37" t="s">
        <v>203</v>
      </c>
      <c r="Y37" s="47">
        <v>5</v>
      </c>
      <c r="Z37" t="s">
        <v>183</v>
      </c>
      <c r="AL37" t="s">
        <v>204</v>
      </c>
      <c r="AN37" t="s">
        <v>52</v>
      </c>
      <c r="AP37" t="s">
        <v>205</v>
      </c>
      <c r="AT37" t="s">
        <v>206</v>
      </c>
    </row>
    <row r="38" spans="12:50" x14ac:dyDescent="0.25">
      <c r="L38" t="s">
        <v>207</v>
      </c>
      <c r="M38" t="s">
        <v>208</v>
      </c>
      <c r="N38">
        <v>10</v>
      </c>
      <c r="O38" t="s">
        <v>67</v>
      </c>
      <c r="Q38">
        <v>0</v>
      </c>
      <c r="R38" t="s">
        <v>209</v>
      </c>
      <c r="X38" t="s">
        <v>210</v>
      </c>
      <c r="Y38" s="47">
        <v>5</v>
      </c>
      <c r="Z38" t="s">
        <v>183</v>
      </c>
      <c r="AE38" s="67"/>
      <c r="AF38" t="s">
        <v>211</v>
      </c>
      <c r="AL38" t="s">
        <v>212</v>
      </c>
      <c r="AM38" s="72">
        <f>AM36+AM35</f>
        <v>8699.9521266000011</v>
      </c>
      <c r="AN38" t="s">
        <v>52</v>
      </c>
      <c r="AP38" t="s">
        <v>213</v>
      </c>
    </row>
    <row r="39" spans="12:50" x14ac:dyDescent="0.25">
      <c r="M39" t="s">
        <v>214</v>
      </c>
      <c r="N39">
        <v>5</v>
      </c>
      <c r="O39" t="s">
        <v>67</v>
      </c>
      <c r="Q39" s="1">
        <f>3954829.90961793/1000</f>
        <v>3954.8299096179303</v>
      </c>
      <c r="R39" t="s">
        <v>215</v>
      </c>
      <c r="X39" t="s">
        <v>216</v>
      </c>
      <c r="Y39" s="47">
        <v>5</v>
      </c>
      <c r="Z39" t="s">
        <v>183</v>
      </c>
      <c r="AL39" t="s">
        <v>217</v>
      </c>
      <c r="AM39" s="47">
        <v>0.57999999999999996</v>
      </c>
      <c r="AN39" t="s">
        <v>16</v>
      </c>
      <c r="AP39" t="s">
        <v>218</v>
      </c>
      <c r="AV39" t="s">
        <v>219</v>
      </c>
    </row>
    <row r="40" spans="12:50" x14ac:dyDescent="0.25">
      <c r="L40" s="3"/>
      <c r="M40" t="s">
        <v>220</v>
      </c>
      <c r="N40">
        <v>15</v>
      </c>
      <c r="O40" t="s">
        <v>67</v>
      </c>
      <c r="Q40">
        <f>0.1*Q41</f>
        <v>43.823520640359334</v>
      </c>
      <c r="R40" t="s">
        <v>221</v>
      </c>
      <c r="X40" t="s">
        <v>222</v>
      </c>
      <c r="Y40" s="47">
        <v>5</v>
      </c>
      <c r="Z40" t="s">
        <v>183</v>
      </c>
      <c r="AL40" t="s">
        <v>223</v>
      </c>
      <c r="AM40" s="70">
        <v>0.69</v>
      </c>
      <c r="AN40" t="s">
        <v>16</v>
      </c>
      <c r="AP40" t="s">
        <v>224</v>
      </c>
      <c r="AQ40" t="s">
        <v>225</v>
      </c>
      <c r="AR40" t="s">
        <v>226</v>
      </c>
      <c r="AU40" t="s">
        <v>152</v>
      </c>
      <c r="AV40" s="27">
        <v>0.23</v>
      </c>
    </row>
    <row r="41" spans="12:50" x14ac:dyDescent="0.25">
      <c r="M41" t="s">
        <v>227</v>
      </c>
      <c r="N41">
        <v>200</v>
      </c>
      <c r="O41" t="s">
        <v>67</v>
      </c>
      <c r="Q41">
        <f>C25</f>
        <v>438.23520640359334</v>
      </c>
      <c r="R41" t="s">
        <v>2</v>
      </c>
      <c r="X41" t="s">
        <v>228</v>
      </c>
      <c r="Y41" s="47">
        <v>1</v>
      </c>
      <c r="Z41" t="s">
        <v>183</v>
      </c>
      <c r="AL41" t="s">
        <v>229</v>
      </c>
      <c r="AM41" s="47">
        <v>0.1</v>
      </c>
      <c r="AN41" t="s">
        <v>16</v>
      </c>
      <c r="AP41" t="s">
        <v>230</v>
      </c>
      <c r="AU41" t="s">
        <v>231</v>
      </c>
      <c r="AV41" s="27">
        <v>0.1</v>
      </c>
    </row>
    <row r="42" spans="12:50" x14ac:dyDescent="0.25">
      <c r="M42" s="68" t="s">
        <v>232</v>
      </c>
      <c r="AL42" t="s">
        <v>233</v>
      </c>
      <c r="AM42" s="47">
        <v>5</v>
      </c>
      <c r="AN42" t="s">
        <v>132</v>
      </c>
      <c r="AP42" t="s">
        <v>234</v>
      </c>
      <c r="AU42" t="s">
        <v>235</v>
      </c>
      <c r="AV42" s="27">
        <v>0.3</v>
      </c>
      <c r="AX42">
        <f>335/438*0.9</f>
        <v>0.68835616438356162</v>
      </c>
    </row>
    <row r="43" spans="12:50" x14ac:dyDescent="0.25">
      <c r="Q43" s="67" t="s">
        <v>236</v>
      </c>
      <c r="AL43" t="s">
        <v>237</v>
      </c>
      <c r="AM43" s="47">
        <v>8</v>
      </c>
      <c r="AN43" t="s">
        <v>132</v>
      </c>
      <c r="AP43" t="s">
        <v>238</v>
      </c>
      <c r="AU43" t="s">
        <v>239</v>
      </c>
      <c r="AV43" s="27">
        <v>0.02</v>
      </c>
    </row>
    <row r="44" spans="12:50" x14ac:dyDescent="0.25">
      <c r="L44" t="s">
        <v>240</v>
      </c>
      <c r="W44" t="s">
        <v>241</v>
      </c>
    </row>
    <row r="45" spans="12:50" x14ac:dyDescent="0.25">
      <c r="M45" t="s">
        <v>242</v>
      </c>
      <c r="N45" s="47">
        <v>0.21</v>
      </c>
      <c r="X45" t="s">
        <v>243</v>
      </c>
      <c r="Y45" s="47">
        <v>0.27</v>
      </c>
      <c r="AV45" s="27">
        <f>SUM(AV40:AV43)</f>
        <v>0.65</v>
      </c>
    </row>
    <row r="46" spans="12:50" x14ac:dyDescent="0.25">
      <c r="M46" t="s">
        <v>244</v>
      </c>
      <c r="N46" s="47">
        <v>0.23</v>
      </c>
      <c r="X46" t="s">
        <v>245</v>
      </c>
      <c r="Y46" s="47">
        <v>0.21</v>
      </c>
      <c r="AK46" t="s">
        <v>246</v>
      </c>
    </row>
    <row r="47" spans="12:50" x14ac:dyDescent="0.25">
      <c r="M47" t="s">
        <v>247</v>
      </c>
      <c r="N47" s="47">
        <v>0.17</v>
      </c>
      <c r="R47">
        <f>3954/438</f>
        <v>9.0273972602739718</v>
      </c>
      <c r="X47" t="s">
        <v>248</v>
      </c>
      <c r="Y47" s="47">
        <v>0.23</v>
      </c>
      <c r="AL47" t="s">
        <v>249</v>
      </c>
      <c r="AM47" s="53">
        <f>AV50</f>
        <v>15877.439999999999</v>
      </c>
      <c r="AN47" t="s">
        <v>250</v>
      </c>
      <c r="AP47" t="s">
        <v>251</v>
      </c>
      <c r="AU47" t="s">
        <v>252</v>
      </c>
      <c r="AV47">
        <v>11026</v>
      </c>
      <c r="AW47" t="s">
        <v>253</v>
      </c>
    </row>
    <row r="48" spans="12:50" x14ac:dyDescent="0.25">
      <c r="M48" t="s">
        <v>254</v>
      </c>
      <c r="N48" s="47">
        <v>0.18</v>
      </c>
      <c r="X48" t="s">
        <v>255</v>
      </c>
      <c r="Y48" s="47">
        <v>0.28999999999999998</v>
      </c>
      <c r="AL48" t="s">
        <v>256</v>
      </c>
      <c r="AM48" s="54">
        <f>AV55</f>
        <v>2599.814736842105</v>
      </c>
      <c r="AN48" t="s">
        <v>250</v>
      </c>
      <c r="AP48" t="s">
        <v>257</v>
      </c>
      <c r="AU48" t="s">
        <v>258</v>
      </c>
      <c r="AV48">
        <v>40</v>
      </c>
      <c r="AW48" t="s">
        <v>259</v>
      </c>
    </row>
    <row r="49" spans="12:51" x14ac:dyDescent="0.25">
      <c r="M49" t="s">
        <v>260</v>
      </c>
      <c r="N49" s="47">
        <v>0.2</v>
      </c>
      <c r="AL49" t="s">
        <v>261</v>
      </c>
      <c r="AM49" s="47">
        <v>0.2</v>
      </c>
      <c r="AN49" t="s">
        <v>262</v>
      </c>
      <c r="AP49" t="s">
        <v>263</v>
      </c>
      <c r="AS49" t="s">
        <v>264</v>
      </c>
      <c r="AU49" t="s">
        <v>265</v>
      </c>
      <c r="AV49">
        <f>AV47*40/100</f>
        <v>4410.3999999999996</v>
      </c>
      <c r="AW49" t="s">
        <v>266</v>
      </c>
    </row>
    <row r="50" spans="12:51" x14ac:dyDescent="0.25">
      <c r="AL50" s="47" t="s">
        <v>267</v>
      </c>
      <c r="AM50" s="47">
        <v>8</v>
      </c>
      <c r="AN50" t="s">
        <v>132</v>
      </c>
      <c r="AP50" t="s">
        <v>268</v>
      </c>
      <c r="AU50" t="s">
        <v>249</v>
      </c>
      <c r="AV50">
        <f>AV49*3.6</f>
        <v>15877.439999999999</v>
      </c>
      <c r="AW50" t="s">
        <v>269</v>
      </c>
    </row>
    <row r="51" spans="12:51" x14ac:dyDescent="0.25">
      <c r="AL51" s="47" t="s">
        <v>270</v>
      </c>
      <c r="AM51" s="47">
        <v>7</v>
      </c>
      <c r="AN51" t="s">
        <v>132</v>
      </c>
      <c r="AP51" t="s">
        <v>271</v>
      </c>
    </row>
    <row r="52" spans="12:51" x14ac:dyDescent="0.25">
      <c r="AL52" s="47" t="s">
        <v>272</v>
      </c>
      <c r="AM52" s="47">
        <v>1</v>
      </c>
      <c r="AN52" t="s">
        <v>16</v>
      </c>
      <c r="AP52" t="s">
        <v>273</v>
      </c>
      <c r="AU52" t="s">
        <v>274</v>
      </c>
      <c r="AV52">
        <v>87</v>
      </c>
      <c r="AW52" t="s">
        <v>275</v>
      </c>
    </row>
    <row r="53" spans="12:51" x14ac:dyDescent="0.25">
      <c r="L53" t="s">
        <v>276</v>
      </c>
      <c r="M53" s="77"/>
      <c r="N53" s="78"/>
      <c r="O53" s="78"/>
      <c r="P53" s="78"/>
      <c r="Q53" t="s">
        <v>277</v>
      </c>
      <c r="AL53" s="47" t="s">
        <v>278</v>
      </c>
      <c r="AM53" s="47">
        <v>0.1</v>
      </c>
      <c r="AN53" t="s">
        <v>16</v>
      </c>
      <c r="AP53" t="s">
        <v>279</v>
      </c>
      <c r="AU53" t="s">
        <v>280</v>
      </c>
      <c r="AV53" s="27">
        <f>1/0.9-1</f>
        <v>0.11111111111111116</v>
      </c>
    </row>
    <row r="54" spans="12:51" x14ac:dyDescent="0.25">
      <c r="L54" s="79" t="s">
        <v>0</v>
      </c>
      <c r="M54" t="s">
        <v>281</v>
      </c>
      <c r="N54">
        <v>84.675778412390954</v>
      </c>
      <c r="O54" t="s">
        <v>2</v>
      </c>
      <c r="Q54" t="s">
        <v>282</v>
      </c>
      <c r="W54" t="s">
        <v>5</v>
      </c>
      <c r="X54" t="s">
        <v>283</v>
      </c>
      <c r="Y54" s="63">
        <f>Y3</f>
        <v>27.768992971366895</v>
      </c>
      <c r="Z54" t="s">
        <v>2</v>
      </c>
      <c r="AC54" s="62">
        <v>27.768992971366899</v>
      </c>
      <c r="AL54" s="47" t="s">
        <v>284</v>
      </c>
      <c r="AM54" s="47">
        <v>0.8</v>
      </c>
      <c r="AN54" t="s">
        <v>134</v>
      </c>
      <c r="AP54" t="s">
        <v>285</v>
      </c>
      <c r="AU54" t="s">
        <v>286</v>
      </c>
      <c r="AV54" s="27">
        <f>1/0.95-1</f>
        <v>5.2631578947368363E-2</v>
      </c>
    </row>
    <row r="55" spans="12:51" x14ac:dyDescent="0.25">
      <c r="L55" s="78"/>
      <c r="M55" t="s">
        <v>287</v>
      </c>
      <c r="N55">
        <v>316.00238911330098</v>
      </c>
      <c r="O55" t="s">
        <v>288</v>
      </c>
      <c r="Q55" t="s">
        <v>289</v>
      </c>
      <c r="X55" t="s">
        <v>290</v>
      </c>
      <c r="Y55" s="63">
        <f>Y4</f>
        <v>306.76464448251534</v>
      </c>
      <c r="Z55" t="s">
        <v>2</v>
      </c>
      <c r="AC55" s="62">
        <v>306.76464448251528</v>
      </c>
      <c r="AL55" s="47" t="s">
        <v>291</v>
      </c>
      <c r="AM55" s="47">
        <v>0.5</v>
      </c>
      <c r="AN55" t="s">
        <v>134</v>
      </c>
      <c r="AP55" t="s">
        <v>292</v>
      </c>
      <c r="AV55">
        <f>AV50*AV53+AV50*AV54</f>
        <v>2599.814736842105</v>
      </c>
    </row>
    <row r="56" spans="12:51" x14ac:dyDescent="0.25">
      <c r="L56" s="79" t="s">
        <v>9</v>
      </c>
      <c r="N56" t="s">
        <v>10</v>
      </c>
      <c r="O56" t="s">
        <v>11</v>
      </c>
      <c r="P56" t="s">
        <v>12</v>
      </c>
      <c r="X56" t="s">
        <v>293</v>
      </c>
      <c r="Y56" s="63">
        <f>Y5</f>
        <v>438.23520640359334</v>
      </c>
      <c r="Z56" t="s">
        <v>2</v>
      </c>
      <c r="AC56" s="62">
        <v>8.7647041280718678</v>
      </c>
      <c r="AL56" t="s">
        <v>294</v>
      </c>
      <c r="AM56">
        <f>AM31+AM30</f>
        <v>79474.335220100198</v>
      </c>
      <c r="AN56" t="s">
        <v>250</v>
      </c>
      <c r="AP56" t="s">
        <v>295</v>
      </c>
    </row>
    <row r="57" spans="12:51" x14ac:dyDescent="0.25">
      <c r="L57" s="78"/>
      <c r="M57" t="s">
        <v>25</v>
      </c>
      <c r="N57" s="62">
        <v>1.772115256118998E-2</v>
      </c>
      <c r="O57">
        <v>0.2</v>
      </c>
      <c r="P57">
        <v>0.7</v>
      </c>
      <c r="Q57" t="s">
        <v>296</v>
      </c>
      <c r="W57" t="s">
        <v>58</v>
      </c>
      <c r="X57" t="s">
        <v>297</v>
      </c>
      <c r="Y57" s="62">
        <v>8.7647041280718678</v>
      </c>
      <c r="Z57" t="s">
        <v>2</v>
      </c>
      <c r="AC57" s="62">
        <v>0</v>
      </c>
      <c r="AL57" t="s">
        <v>298</v>
      </c>
      <c r="AM57">
        <f>AV59</f>
        <v>917.41000000000008</v>
      </c>
      <c r="AN57" t="s">
        <v>250</v>
      </c>
      <c r="AP57" t="s">
        <v>299</v>
      </c>
    </row>
    <row r="58" spans="12:51" x14ac:dyDescent="0.25">
      <c r="L58" s="78"/>
      <c r="M58" t="s">
        <v>33</v>
      </c>
      <c r="N58" s="62">
        <v>1.50484248398935E-2</v>
      </c>
      <c r="O58">
        <v>0.76919999999999999</v>
      </c>
      <c r="P58">
        <v>0</v>
      </c>
      <c r="Q58" t="s">
        <v>300</v>
      </c>
      <c r="X58" t="s">
        <v>74</v>
      </c>
      <c r="Y58" s="62">
        <v>0</v>
      </c>
      <c r="Z58" t="s">
        <v>16</v>
      </c>
      <c r="AC58" s="62">
        <v>0.1</v>
      </c>
      <c r="AL58" s="47" t="s">
        <v>301</v>
      </c>
      <c r="AM58" s="47">
        <v>0.55000000000000004</v>
      </c>
      <c r="AN58" t="s">
        <v>16</v>
      </c>
      <c r="AP58" t="s">
        <v>302</v>
      </c>
      <c r="AU58" t="s">
        <v>303</v>
      </c>
      <c r="AV58">
        <v>438</v>
      </c>
      <c r="AX58" t="s">
        <v>304</v>
      </c>
      <c r="AY58">
        <v>1.3</v>
      </c>
    </row>
    <row r="59" spans="12:51" x14ac:dyDescent="0.25">
      <c r="L59" s="78"/>
      <c r="M59" t="s">
        <v>41</v>
      </c>
      <c r="N59" s="62">
        <v>0.1198971305214897</v>
      </c>
      <c r="O59">
        <v>0.4</v>
      </c>
      <c r="P59">
        <v>0.4</v>
      </c>
      <c r="X59" t="s">
        <v>82</v>
      </c>
      <c r="Y59" s="62">
        <v>0.1</v>
      </c>
      <c r="Z59" t="s">
        <v>16</v>
      </c>
      <c r="AC59" s="62">
        <v>0</v>
      </c>
      <c r="AL59" t="s">
        <v>305</v>
      </c>
      <c r="AM59" s="47">
        <v>0.35</v>
      </c>
      <c r="AN59" t="s">
        <v>134</v>
      </c>
      <c r="AP59" t="s">
        <v>306</v>
      </c>
      <c r="AS59" t="s">
        <v>264</v>
      </c>
      <c r="AV59">
        <f>705.7*1.3</f>
        <v>917.41000000000008</v>
      </c>
      <c r="AX59" t="s">
        <v>307</v>
      </c>
      <c r="AY59">
        <v>1000</v>
      </c>
    </row>
    <row r="60" spans="12:51" x14ac:dyDescent="0.25">
      <c r="L60" s="78"/>
      <c r="M60" t="s">
        <v>49</v>
      </c>
      <c r="N60" s="62">
        <v>7.6899999999999982E-2</v>
      </c>
      <c r="O60">
        <v>0.66669999999999996</v>
      </c>
      <c r="P60">
        <v>0.2</v>
      </c>
      <c r="X60" t="s">
        <v>86</v>
      </c>
      <c r="Y60" s="62">
        <v>0</v>
      </c>
      <c r="Z60" t="s">
        <v>16</v>
      </c>
      <c r="AC60" s="62">
        <v>0.1</v>
      </c>
      <c r="AL60" t="s">
        <v>308</v>
      </c>
      <c r="AM60" s="47">
        <v>1</v>
      </c>
      <c r="AN60" t="s">
        <v>134</v>
      </c>
      <c r="AP60" t="s">
        <v>309</v>
      </c>
      <c r="AS60" t="s">
        <v>264</v>
      </c>
    </row>
    <row r="61" spans="12:51" x14ac:dyDescent="0.25">
      <c r="L61" s="78"/>
      <c r="M61" t="s">
        <v>57</v>
      </c>
      <c r="N61" s="62">
        <v>1.402830950153681E-2</v>
      </c>
      <c r="O61">
        <v>1</v>
      </c>
      <c r="P61">
        <v>0</v>
      </c>
      <c r="X61" t="s">
        <v>90</v>
      </c>
      <c r="Y61" s="62">
        <v>0.1</v>
      </c>
      <c r="Z61" t="s">
        <v>16</v>
      </c>
      <c r="AC61" s="62">
        <v>335.64216104433848</v>
      </c>
      <c r="AL61" t="s">
        <v>310</v>
      </c>
      <c r="AM61" s="47">
        <v>0.95</v>
      </c>
      <c r="AN61" t="s">
        <v>134</v>
      </c>
      <c r="AP61" t="s">
        <v>311</v>
      </c>
      <c r="AS61" t="s">
        <v>264</v>
      </c>
    </row>
    <row r="62" spans="12:51" x14ac:dyDescent="0.25">
      <c r="L62" s="78"/>
      <c r="M62" t="s">
        <v>65</v>
      </c>
      <c r="N62" s="62">
        <v>0.1211</v>
      </c>
      <c r="O62">
        <v>3</v>
      </c>
      <c r="P62">
        <v>0.3</v>
      </c>
      <c r="X62" t="s">
        <v>101</v>
      </c>
      <c r="Y62" s="62">
        <v>438.23520640359328</v>
      </c>
      <c r="Z62" t="s">
        <v>2</v>
      </c>
      <c r="AC62" s="62" t="s">
        <v>312</v>
      </c>
      <c r="AL62" t="s">
        <v>313</v>
      </c>
      <c r="AM62" s="47">
        <v>2.71</v>
      </c>
      <c r="AN62" t="s">
        <v>134</v>
      </c>
      <c r="AP62" t="s">
        <v>314</v>
      </c>
      <c r="AS62" t="s">
        <v>264</v>
      </c>
    </row>
    <row r="63" spans="12:51" x14ac:dyDescent="0.25">
      <c r="L63" s="78"/>
      <c r="M63" t="s">
        <v>73</v>
      </c>
      <c r="N63" s="62">
        <v>0.22770000000000001</v>
      </c>
      <c r="O63">
        <v>0.58499999999999996</v>
      </c>
      <c r="P63">
        <v>0.5</v>
      </c>
      <c r="X63" t="s">
        <v>105</v>
      </c>
      <c r="Y63" s="62">
        <v>335.64216104433848</v>
      </c>
      <c r="Z63" t="s">
        <v>2</v>
      </c>
      <c r="AC63" s="62">
        <v>0.1</v>
      </c>
      <c r="AL63" t="s">
        <v>315</v>
      </c>
      <c r="AM63" s="47">
        <v>0.88</v>
      </c>
      <c r="AN63" t="s">
        <v>134</v>
      </c>
      <c r="AP63" t="s">
        <v>316</v>
      </c>
      <c r="AS63" t="s">
        <v>264</v>
      </c>
    </row>
    <row r="64" spans="12:51" x14ac:dyDescent="0.25">
      <c r="L64" s="79" t="s">
        <v>94</v>
      </c>
      <c r="N64" t="s">
        <v>95</v>
      </c>
      <c r="O64" t="s">
        <v>98</v>
      </c>
      <c r="P64" t="s">
        <v>99</v>
      </c>
      <c r="W64" t="s">
        <v>112</v>
      </c>
      <c r="Y64" s="62" t="s">
        <v>312</v>
      </c>
      <c r="Z64" t="s">
        <v>317</v>
      </c>
      <c r="AA64" t="s">
        <v>318</v>
      </c>
      <c r="AC64" s="62">
        <v>0.4</v>
      </c>
      <c r="AL64" t="s">
        <v>319</v>
      </c>
      <c r="AM64" s="47">
        <v>2.5099999999999998</v>
      </c>
      <c r="AN64" t="s">
        <v>134</v>
      </c>
      <c r="AP64" t="s">
        <v>320</v>
      </c>
      <c r="AS64" t="s">
        <v>264</v>
      </c>
    </row>
    <row r="65" spans="12:44" x14ac:dyDescent="0.25">
      <c r="L65" s="78"/>
      <c r="M65" t="s">
        <v>25</v>
      </c>
      <c r="N65" s="62">
        <v>7.7660329503626562</v>
      </c>
      <c r="O65">
        <v>1</v>
      </c>
      <c r="P65">
        <v>0.91</v>
      </c>
      <c r="Q65" t="s">
        <v>321</v>
      </c>
      <c r="X65" t="s">
        <v>322</v>
      </c>
      <c r="Y65" s="64">
        <v>0.1</v>
      </c>
      <c r="Z65" s="47">
        <v>5</v>
      </c>
      <c r="AA65" s="63">
        <f>$Y$28/10*0.33</f>
        <v>14.461761811318581</v>
      </c>
      <c r="AC65" s="62">
        <v>0.8</v>
      </c>
    </row>
    <row r="66" spans="12:44" x14ac:dyDescent="0.25">
      <c r="L66" s="78"/>
      <c r="M66" t="s">
        <v>33</v>
      </c>
      <c r="N66" s="62">
        <v>6.5947495657596882</v>
      </c>
      <c r="O66">
        <v>1</v>
      </c>
      <c r="P66">
        <v>0.84</v>
      </c>
      <c r="Q66" t="s">
        <v>323</v>
      </c>
      <c r="X66" t="s">
        <v>324</v>
      </c>
      <c r="Y66" s="64">
        <v>0.4</v>
      </c>
      <c r="Z66" s="47">
        <v>5</v>
      </c>
      <c r="AA66" s="63">
        <f>$Y$28/10*0.33</f>
        <v>14.461761811318581</v>
      </c>
      <c r="AC66" s="62">
        <v>0.68930551568169895</v>
      </c>
    </row>
    <row r="67" spans="12:44" x14ac:dyDescent="0.25">
      <c r="L67" s="78"/>
      <c r="M67" t="s">
        <v>41</v>
      </c>
      <c r="N67" s="62">
        <v>52.543143741283608</v>
      </c>
      <c r="O67">
        <v>1</v>
      </c>
      <c r="P67">
        <v>0.84</v>
      </c>
      <c r="X67" t="s">
        <v>325</v>
      </c>
      <c r="Y67" s="64">
        <v>0.8</v>
      </c>
      <c r="Z67" s="47">
        <v>5</v>
      </c>
      <c r="AA67" s="63">
        <f>$Y$28/10*0.33</f>
        <v>14.461761811318581</v>
      </c>
      <c r="AC67">
        <v>1</v>
      </c>
    </row>
    <row r="68" spans="12:44" x14ac:dyDescent="0.25">
      <c r="L68" s="78"/>
      <c r="M68" t="s">
        <v>49</v>
      </c>
      <c r="N68" s="62">
        <v>33.700287372436321</v>
      </c>
      <c r="O68">
        <v>1</v>
      </c>
      <c r="P68">
        <v>0.96</v>
      </c>
      <c r="W68" t="s">
        <v>175</v>
      </c>
      <c r="X68" t="s">
        <v>178</v>
      </c>
      <c r="Y68" s="62">
        <v>0.68930551568169895</v>
      </c>
      <c r="AC68">
        <v>1</v>
      </c>
    </row>
    <row r="69" spans="12:44" x14ac:dyDescent="0.25">
      <c r="L69" s="78"/>
      <c r="M69" t="s">
        <v>57</v>
      </c>
      <c r="N69" s="62">
        <v>6.1476991098994764</v>
      </c>
      <c r="O69">
        <v>1</v>
      </c>
      <c r="P69">
        <v>0.84</v>
      </c>
      <c r="X69" t="s">
        <v>182</v>
      </c>
      <c r="Y69" s="65">
        <v>1</v>
      </c>
      <c r="AC69">
        <v>5</v>
      </c>
    </row>
    <row r="70" spans="12:44" x14ac:dyDescent="0.25">
      <c r="L70" s="78"/>
      <c r="M70" t="s">
        <v>65</v>
      </c>
      <c r="N70" s="62">
        <v>53.070283495475152</v>
      </c>
      <c r="O70">
        <v>1</v>
      </c>
      <c r="P70">
        <v>0.93</v>
      </c>
      <c r="X70" t="s">
        <v>188</v>
      </c>
      <c r="Y70" s="65">
        <v>1</v>
      </c>
      <c r="AC70">
        <v>1</v>
      </c>
      <c r="AM70" s="77"/>
      <c r="AN70" s="78"/>
      <c r="AO70" s="78"/>
      <c r="AP70" s="78"/>
      <c r="AQ70" s="78"/>
      <c r="AR70" t="s">
        <v>326</v>
      </c>
    </row>
    <row r="71" spans="12:44" x14ac:dyDescent="0.25">
      <c r="L71" s="78"/>
      <c r="M71" t="s">
        <v>73</v>
      </c>
      <c r="N71" s="62">
        <v>99.786156498098194</v>
      </c>
      <c r="O71">
        <v>1</v>
      </c>
      <c r="P71">
        <v>0.95</v>
      </c>
      <c r="X71" t="s">
        <v>194</v>
      </c>
      <c r="Y71" s="65">
        <v>5</v>
      </c>
      <c r="AC71">
        <v>5</v>
      </c>
      <c r="AL71" t="s">
        <v>7</v>
      </c>
      <c r="AN71" t="s">
        <v>327</v>
      </c>
      <c r="AO71" t="s">
        <v>328</v>
      </c>
      <c r="AR71" s="80" t="s">
        <v>329</v>
      </c>
    </row>
    <row r="72" spans="12:44" ht="15" customHeight="1" x14ac:dyDescent="0.25">
      <c r="L72" s="79" t="s">
        <v>141</v>
      </c>
      <c r="M72" t="s">
        <v>330</v>
      </c>
      <c r="N72">
        <v>51800</v>
      </c>
      <c r="O72" t="s">
        <v>331</v>
      </c>
      <c r="Q72" t="s">
        <v>332</v>
      </c>
      <c r="X72" t="s">
        <v>199</v>
      </c>
      <c r="Y72" s="65">
        <v>1</v>
      </c>
      <c r="AC72">
        <v>5</v>
      </c>
      <c r="AM72" t="s">
        <v>333</v>
      </c>
      <c r="AN72" s="62">
        <v>0.29735032401813277</v>
      </c>
      <c r="AO72">
        <v>0.2</v>
      </c>
      <c r="AR72" s="78"/>
    </row>
    <row r="73" spans="12:44" x14ac:dyDescent="0.25">
      <c r="L73" s="78"/>
      <c r="M73" t="s">
        <v>334</v>
      </c>
      <c r="N73">
        <v>22640</v>
      </c>
      <c r="O73" t="s">
        <v>331</v>
      </c>
      <c r="Q73" t="s">
        <v>335</v>
      </c>
      <c r="X73" t="s">
        <v>203</v>
      </c>
      <c r="Y73" s="65">
        <v>5</v>
      </c>
      <c r="AC73">
        <v>5</v>
      </c>
      <c r="AM73" t="s">
        <v>336</v>
      </c>
      <c r="AN73" s="62">
        <v>0.59470064803626566</v>
      </c>
      <c r="AO73">
        <v>0.2</v>
      </c>
      <c r="AR73" s="78"/>
    </row>
    <row r="74" spans="12:44" x14ac:dyDescent="0.25">
      <c r="L74" s="79" t="s">
        <v>160</v>
      </c>
      <c r="M74" t="s">
        <v>161</v>
      </c>
      <c r="N74">
        <v>1.24</v>
      </c>
      <c r="O74" t="s">
        <v>162</v>
      </c>
      <c r="Q74" t="s">
        <v>337</v>
      </c>
      <c r="X74" t="s">
        <v>210</v>
      </c>
      <c r="Y74" s="65">
        <v>5</v>
      </c>
      <c r="AC74">
        <v>5</v>
      </c>
      <c r="AM74" t="s">
        <v>338</v>
      </c>
      <c r="AN74" s="62">
        <v>1.029736807493857E-2</v>
      </c>
      <c r="AO74">
        <v>0.105</v>
      </c>
      <c r="AR74" s="78"/>
    </row>
    <row r="75" spans="12:44" x14ac:dyDescent="0.25">
      <c r="L75" s="78"/>
      <c r="M75" t="s">
        <v>166</v>
      </c>
      <c r="N75">
        <v>4.4654999999999996</v>
      </c>
      <c r="O75" t="s">
        <v>162</v>
      </c>
      <c r="X75" t="s">
        <v>216</v>
      </c>
      <c r="Y75" s="65">
        <v>5</v>
      </c>
      <c r="AC75">
        <v>1</v>
      </c>
      <c r="AM75" t="s">
        <v>339</v>
      </c>
      <c r="AN75" s="62">
        <v>9.7651659870662808E-2</v>
      </c>
      <c r="AO75">
        <v>0.2</v>
      </c>
      <c r="AR75" s="78"/>
    </row>
    <row r="76" spans="12:44" x14ac:dyDescent="0.25">
      <c r="L76" s="78"/>
      <c r="M76" t="s">
        <v>170</v>
      </c>
      <c r="N76">
        <v>0.53</v>
      </c>
      <c r="O76" t="s">
        <v>162</v>
      </c>
      <c r="X76" t="s">
        <v>222</v>
      </c>
      <c r="Y76" s="65">
        <v>5</v>
      </c>
      <c r="AL76" t="s">
        <v>110</v>
      </c>
      <c r="AN76" s="62" t="s">
        <v>113</v>
      </c>
      <c r="AO76" t="s">
        <v>133</v>
      </c>
      <c r="AR76" s="77" t="s">
        <v>340</v>
      </c>
    </row>
    <row r="77" spans="12:44" x14ac:dyDescent="0.25">
      <c r="L77" s="78"/>
      <c r="M77" t="s">
        <v>174</v>
      </c>
      <c r="N77">
        <v>29.77</v>
      </c>
      <c r="O77" t="s">
        <v>162</v>
      </c>
      <c r="X77" t="s">
        <v>228</v>
      </c>
      <c r="Y77" s="65">
        <v>1</v>
      </c>
      <c r="AM77" t="s">
        <v>341</v>
      </c>
      <c r="AN77" s="62">
        <v>0.15</v>
      </c>
      <c r="AO77">
        <v>-3.6999999999999998E-2</v>
      </c>
      <c r="AR77" s="78"/>
    </row>
    <row r="78" spans="12:44" x14ac:dyDescent="0.25">
      <c r="L78" s="79" t="s">
        <v>192</v>
      </c>
      <c r="M78" t="s">
        <v>193</v>
      </c>
      <c r="N78">
        <v>0.95</v>
      </c>
      <c r="Q78" t="s">
        <v>342</v>
      </c>
      <c r="AM78" t="s">
        <v>343</v>
      </c>
      <c r="AN78" s="62">
        <v>0.15</v>
      </c>
      <c r="AO78">
        <v>-3.5999999999999997E-2</v>
      </c>
      <c r="AR78" s="78"/>
    </row>
    <row r="79" spans="12:44" x14ac:dyDescent="0.25">
      <c r="L79" s="78"/>
      <c r="M79" t="s">
        <v>198</v>
      </c>
      <c r="N79">
        <v>0.93</v>
      </c>
      <c r="Q79" t="s">
        <v>344</v>
      </c>
      <c r="AM79" t="s">
        <v>345</v>
      </c>
      <c r="AN79" s="62">
        <v>0.35</v>
      </c>
      <c r="AO79">
        <v>0</v>
      </c>
      <c r="AR79" s="78"/>
    </row>
    <row r="80" spans="12:44" x14ac:dyDescent="0.25">
      <c r="L80" s="58" t="s">
        <v>207</v>
      </c>
      <c r="M80" t="s">
        <v>346</v>
      </c>
      <c r="N80" s="69">
        <v>0.19</v>
      </c>
      <c r="Q80" t="s">
        <v>347</v>
      </c>
      <c r="AM80" t="s">
        <v>348</v>
      </c>
      <c r="AN80" s="62">
        <v>0.35</v>
      </c>
      <c r="AO80">
        <v>0</v>
      </c>
      <c r="AR80" s="78"/>
    </row>
    <row r="81" spans="38:44" x14ac:dyDescent="0.25">
      <c r="AL81" t="s">
        <v>165</v>
      </c>
      <c r="AM81" t="s">
        <v>349</v>
      </c>
      <c r="AN81" s="62">
        <f>AM32+AM31+AM30</f>
        <v>80391.745220100202</v>
      </c>
      <c r="AO81" t="s">
        <v>52</v>
      </c>
      <c r="AR81" s="77" t="s">
        <v>350</v>
      </c>
    </row>
    <row r="82" spans="38:44" x14ac:dyDescent="0.25">
      <c r="AM82" t="s">
        <v>351</v>
      </c>
      <c r="AN82" s="62">
        <f>AM34+AM35+AM36</f>
        <v>9617.3621266000009</v>
      </c>
      <c r="AO82" t="s">
        <v>52</v>
      </c>
      <c r="AR82" s="78"/>
    </row>
    <row r="83" spans="38:44" x14ac:dyDescent="0.25">
      <c r="AM83" t="s">
        <v>352</v>
      </c>
      <c r="AN83" s="62">
        <f>AM38</f>
        <v>8699.9521266000011</v>
      </c>
      <c r="AO83" t="s">
        <v>52</v>
      </c>
      <c r="AR83" s="78"/>
    </row>
    <row r="84" spans="38:44" x14ac:dyDescent="0.25">
      <c r="AM84" t="s">
        <v>217</v>
      </c>
      <c r="AN84" s="62">
        <v>0.57999999999999996</v>
      </c>
      <c r="AR84" s="78"/>
    </row>
    <row r="85" spans="38:44" x14ac:dyDescent="0.25">
      <c r="AM85" t="s">
        <v>223</v>
      </c>
      <c r="AN85" s="62">
        <v>0.3</v>
      </c>
      <c r="AR85" s="78"/>
    </row>
    <row r="86" spans="38:44" x14ac:dyDescent="0.25">
      <c r="AM86" t="s">
        <v>229</v>
      </c>
      <c r="AN86" s="62">
        <v>0.1</v>
      </c>
      <c r="AR86" s="78"/>
    </row>
    <row r="87" spans="38:44" x14ac:dyDescent="0.25">
      <c r="AM87" t="s">
        <v>233</v>
      </c>
      <c r="AN87" s="62">
        <v>5</v>
      </c>
      <c r="AR87" s="78"/>
    </row>
    <row r="88" spans="38:44" x14ac:dyDescent="0.25">
      <c r="AM88" t="s">
        <v>237</v>
      </c>
      <c r="AN88" s="62">
        <v>8</v>
      </c>
      <c r="AR88" s="78"/>
    </row>
    <row r="89" spans="38:44" x14ac:dyDescent="0.25">
      <c r="AL89" t="s">
        <v>246</v>
      </c>
      <c r="AN89" s="62" t="s">
        <v>353</v>
      </c>
      <c r="AO89" t="s">
        <v>354</v>
      </c>
      <c r="AP89" t="s">
        <v>355</v>
      </c>
      <c r="AQ89" t="s">
        <v>356</v>
      </c>
      <c r="AR89" s="77" t="s">
        <v>357</v>
      </c>
    </row>
    <row r="90" spans="38:44" x14ac:dyDescent="0.25">
      <c r="AM90" t="s">
        <v>358</v>
      </c>
      <c r="AN90" s="62">
        <v>15877.44</v>
      </c>
      <c r="AO90" s="47">
        <v>8</v>
      </c>
      <c r="AP90" s="47">
        <v>1</v>
      </c>
      <c r="AQ90" s="47">
        <v>0.8</v>
      </c>
      <c r="AR90" s="78"/>
    </row>
    <row r="91" spans="38:44" x14ac:dyDescent="0.25">
      <c r="AM91" t="s">
        <v>359</v>
      </c>
      <c r="AN91" s="62">
        <v>2599.814736842105</v>
      </c>
      <c r="AO91" s="47">
        <v>7</v>
      </c>
      <c r="AP91" s="47">
        <v>0.1</v>
      </c>
      <c r="AQ91" s="47">
        <v>0.5</v>
      </c>
      <c r="AR91" s="78"/>
    </row>
    <row r="92" spans="38:44" x14ac:dyDescent="0.25">
      <c r="AM92" t="s">
        <v>294</v>
      </c>
      <c r="AN92" s="62">
        <v>79474.335220100198</v>
      </c>
      <c r="AR92" s="78"/>
    </row>
    <row r="93" spans="38:44" x14ac:dyDescent="0.25">
      <c r="AM93" t="s">
        <v>298</v>
      </c>
      <c r="AN93" s="62">
        <v>917.41000000000008</v>
      </c>
      <c r="AR93" s="78"/>
    </row>
    <row r="94" spans="38:44" x14ac:dyDescent="0.25">
      <c r="AM94" s="47" t="s">
        <v>301</v>
      </c>
      <c r="AN94" s="64">
        <v>0.55000000000000004</v>
      </c>
      <c r="AR94" s="78"/>
    </row>
    <row r="95" spans="38:44" x14ac:dyDescent="0.25">
      <c r="AM95" t="s">
        <v>305</v>
      </c>
      <c r="AN95" s="64">
        <v>0.35</v>
      </c>
      <c r="AR95" s="78"/>
    </row>
    <row r="96" spans="38:44" x14ac:dyDescent="0.25">
      <c r="AM96" t="s">
        <v>308</v>
      </c>
      <c r="AN96" s="64">
        <v>1</v>
      </c>
      <c r="AR96" s="78"/>
    </row>
    <row r="97" spans="39:44" x14ac:dyDescent="0.25">
      <c r="AM97" t="s">
        <v>310</v>
      </c>
      <c r="AN97" s="64">
        <v>0.95</v>
      </c>
      <c r="AR97" s="78"/>
    </row>
    <row r="98" spans="39:44" x14ac:dyDescent="0.25">
      <c r="AM98" t="s">
        <v>313</v>
      </c>
      <c r="AN98" s="64">
        <v>2.71</v>
      </c>
      <c r="AR98" s="78"/>
    </row>
    <row r="99" spans="39:44" x14ac:dyDescent="0.25">
      <c r="AM99" t="s">
        <v>315</v>
      </c>
      <c r="AN99" s="64">
        <v>0.88</v>
      </c>
      <c r="AR99" s="78"/>
    </row>
    <row r="100" spans="39:44" x14ac:dyDescent="0.25">
      <c r="AM100" t="s">
        <v>319</v>
      </c>
      <c r="AN100" s="64">
        <v>2.5099999999999998</v>
      </c>
      <c r="AR100" s="78"/>
    </row>
  </sheetData>
  <mergeCells count="13">
    <mergeCell ref="AH33:AH36"/>
    <mergeCell ref="L72:L73"/>
    <mergeCell ref="L54:L55"/>
    <mergeCell ref="AR89:AR100"/>
    <mergeCell ref="M53:P53"/>
    <mergeCell ref="AM70:AQ70"/>
    <mergeCell ref="L56:L63"/>
    <mergeCell ref="AR71:AR75"/>
    <mergeCell ref="L78:L79"/>
    <mergeCell ref="L64:L71"/>
    <mergeCell ref="L74:L77"/>
    <mergeCell ref="AR76:AR80"/>
    <mergeCell ref="AR81:AR8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PCI_inputs</vt:lpstr>
      <vt:lpstr>CI_inputs </vt:lpstr>
      <vt:lpstr>CEI_inputs</vt:lpstr>
      <vt:lpstr>ECPI_indicator_correcte</vt:lpstr>
      <vt:lpstr>ECPI_indicator</vt:lpstr>
      <vt:lpstr>MRE_indicator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Srinivasan</dc:creator>
  <cp:lastModifiedBy>Lakshmi Srinivasan</cp:lastModifiedBy>
  <dcterms:created xsi:type="dcterms:W3CDTF">2025-11-07T17:22:51Z</dcterms:created>
  <dcterms:modified xsi:type="dcterms:W3CDTF">2026-06-21T20:03:37Z</dcterms:modified>
</cp:coreProperties>
</file>